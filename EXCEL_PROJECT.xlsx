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Advance Excel\Excel_Project\"/>
    </mc:Choice>
  </mc:AlternateContent>
  <xr:revisionPtr revIDLastSave="0" documentId="13_ncr:1_{096BAE1A-FBF1-4E72-9F25-A82B7F1CC693}" xr6:coauthVersionLast="47" xr6:coauthVersionMax="47" xr10:uidLastSave="{00000000-0000-0000-0000-000000000000}"/>
  <bookViews>
    <workbookView xWindow="-108" yWindow="-108" windowWidth="23256" windowHeight="12456" activeTab="1" xr2:uid="{ACACC65C-4AFB-4A04-9080-DC23120B33FC}"/>
  </bookViews>
  <sheets>
    <sheet name="PIVOT TABLE" sheetId="1" r:id="rId1"/>
    <sheet name="DASHBOARD" sheetId="2" r:id="rId2"/>
  </sheets>
  <definedNames>
    <definedName name="Slicer_Year">#N/A</definedName>
  </definedNames>
  <calcPr calcId="191029"/>
  <pivotCaches>
    <pivotCache cacheId="80" r:id="rId3"/>
    <pivotCache cacheId="83" r:id="rId4"/>
    <pivotCache cacheId="86" r:id="rId5"/>
    <pivotCache cacheId="89" r:id="rId6"/>
    <pivotCache cacheId="92" r:id="rId7"/>
    <pivotCache cacheId="95" r:id="rId8"/>
    <pivotCache cacheId="98" r:id="rId9"/>
    <pivotCache cacheId="101" r:id="rId10"/>
    <pivotCache cacheId="104" r:id="rId11"/>
    <pivotCache cacheId="107" r:id="rId12"/>
    <pivotCache cacheId="110"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lectric_vehicle_39654a28-b04f-45a6-b190-4a4b2db422d4" name="Electric_vehicle" connection="Query - Electric_vehic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C797FEF-1F92-4AAB-B8A6-7C5C25EB19BB}" name="Query - Electric_vehicle" description="Connection to the 'Electric_vehicle' query in the workbook." type="100" refreshedVersion="8" minRefreshableVersion="5">
    <extLst>
      <ext xmlns:x15="http://schemas.microsoft.com/office/spreadsheetml/2010/11/main" uri="{DE250136-89BD-433C-8126-D09CA5730AF9}">
        <x15:connection id="d66002ff-a328-434e-b819-72ee1c5b75cc"/>
      </ext>
    </extLst>
  </connection>
  <connection id="2" xr16:uid="{028B5E31-D4C8-4826-AC08-FA1D55DFED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<sst xmlns="http://schemas.openxmlformats.org/spreadsheetml/2006/main" count="58" uniqueCount="34">
  <si>
    <t>Total_Vehicle</t>
  </si>
  <si>
    <t>Insurence_Cost</t>
  </si>
  <si>
    <t>Charging_Cost</t>
  </si>
  <si>
    <t>Avg_Range_KM</t>
  </si>
  <si>
    <t>Battery_Health</t>
  </si>
  <si>
    <t>Asia</t>
  </si>
  <si>
    <t>Australia</t>
  </si>
  <si>
    <t>Europe</t>
  </si>
  <si>
    <t>North America</t>
  </si>
  <si>
    <t>Grand Total</t>
  </si>
  <si>
    <t>Count of Vehicle_ID</t>
  </si>
  <si>
    <t>Hatchback</t>
  </si>
  <si>
    <t>Sedan</t>
  </si>
  <si>
    <t>SUV</t>
  </si>
  <si>
    <t>Truck</t>
  </si>
  <si>
    <t>Commercial</t>
  </si>
  <si>
    <t>Fleet</t>
  </si>
  <si>
    <t>Personal</t>
  </si>
  <si>
    <t>Audi</t>
  </si>
  <si>
    <t>BMW</t>
  </si>
  <si>
    <t>Chevrolet</t>
  </si>
  <si>
    <t>Ford</t>
  </si>
  <si>
    <t>Hyundai</t>
  </si>
  <si>
    <t>Kia</t>
  </si>
  <si>
    <t>Mercedes</t>
  </si>
  <si>
    <t>Nissan</t>
  </si>
  <si>
    <t>Tesla</t>
  </si>
  <si>
    <t>Volkswagen</t>
  </si>
  <si>
    <t>Average of Maintenance_Cost_USD</t>
  </si>
  <si>
    <t>Avg_Battery_Capacity_kWh</t>
  </si>
  <si>
    <t>Make</t>
  </si>
  <si>
    <t>Type</t>
  </si>
  <si>
    <t>Region</t>
  </si>
  <si>
    <t>Usage_Type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</si>
</sst>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1" x14ac:knownFonts="1">
    <font>
      <sz val="11"/>
      <color theme="1"/>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2"/>
        <bgColor indexed="64"/>
      </patternFill>
    </fill>
    <fill>
      <patternFill patternType="solid">
        <fgColor theme="4" tint="0.79998168889431442"/>
        <bgColor indexed="64"/>
      </patternFill>
    </fill>
    <fill>
      <patternFill patternType="solid">
        <fgColor theme="3"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0" xfId="0" applyFill="1"/>
    <xf numFmtId="0" fontId="0" fillId="3" borderId="0" xfId="0" applyFill="1"/>
    <xf numFmtId="0" fontId="0" fillId="0" borderId="1" xfId="0" applyBorder="1"/>
    <xf numFmtId="2" fontId="0" fillId="0" borderId="1" xfId="0" applyNumberFormat="1" applyBorder="1"/>
    <xf numFmtId="0" fontId="0" fillId="0" borderId="1" xfId="0" applyBorder="1" applyAlignment="1">
      <alignment horizontal="right"/>
    </xf>
    <xf numFmtId="0" fontId="0" fillId="0" borderId="1" xfId="0" pivotButton="1" applyBorder="1"/>
    <xf numFmtId="0" fontId="0" fillId="0" borderId="1" xfId="0" applyBorder="1" applyAlignment="1">
      <alignment horizontal="left"/>
    </xf>
    <xf numFmtId="164" fontId="0" fillId="0" borderId="1" xfId="0" applyNumberFormat="1" applyBorder="1"/>
    <xf numFmtId="0" fontId="0" fillId="4" borderId="1" xfId="0" applyFill="1" applyBorder="1"/>
    <xf numFmtId="0" fontId="0" fillId="5" borderId="0" xfId="0" applyFill="1"/>
    <xf numFmtId="0" fontId="0" fillId="0" borderId="2" xfId="0" applyBorder="1" applyAlignment="1">
      <alignment horizontal="right"/>
    </xf>
    <xf numFmtId="2" fontId="0" fillId="0" borderId="2" xfId="0" applyNumberFormat="1" applyBorder="1"/>
    <xf numFmtId="0" fontId="0" fillId="0" borderId="1" xfId="0" applyNumberFormat="1" applyBorder="1"/>
  </cellXfs>
  <cellStyles count="1">
    <cellStyle name="Normal" xfId="0" builtinId="0"/>
  </cellStyles>
  <dxfs count="244">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alignment horizontal="right"/>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font>
        <b/>
        <color theme="1"/>
      </font>
      <border>
        <bottom style="thin">
          <color theme="4"/>
        </bottom>
        <vertical/>
        <horizontal/>
      </border>
    </dxf>
    <dxf>
      <font>
        <sz val="12"/>
        <color theme="1"/>
      </font>
      <fill>
        <patternFill patternType="none">
          <bgColor auto="1"/>
        </patternFill>
      </fill>
      <border diagonalUp="0" diagonalDown="0">
        <left/>
        <right/>
        <top/>
        <bottom/>
        <vertical/>
        <horizontal/>
      </border>
    </dxf>
    <dxf>
      <font>
        <b/>
        <color theme="1"/>
      </font>
      <border>
        <bottom style="thin">
          <color theme="4"/>
        </bottom>
        <vertical/>
        <horizontal/>
      </border>
    </dxf>
    <dxf>
      <font>
        <sz val="16"/>
        <color theme="0"/>
      </font>
      <fill>
        <patternFill>
          <bgColor theme="0"/>
        </patternFill>
      </fill>
      <border diagonalUp="0" diagonalDown="0">
        <left/>
        <right/>
        <top/>
        <bottom/>
        <vertical/>
        <horizontal/>
      </border>
    </dxf>
  </dxfs>
  <tableStyles count="2" defaultTableStyle="TableStyleMedium2" defaultPivotStyle="PivotStyleLight16">
    <tableStyle name="My Style" pivot="0" table="0" count="10" xr9:uid="{D1FEB1C0-1CBD-469B-8647-4E535EEFA55E}">
      <tableStyleElement type="wholeTable" dxfId="243"/>
      <tableStyleElement type="headerRow" dxfId="242"/>
    </tableStyle>
    <tableStyle name="My Style 2" pivot="0" table="0" count="10" xr9:uid="{F69974AD-AFCE-4100-8DDC-62A966EA62FC}">
      <tableStyleElement type="wholeTable" dxfId="241"/>
      <tableStyleElement type="headerRow" dxfId="24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3" tint="0.24994659260841701"/>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styles" Target="styles.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55" Type="http://schemas.openxmlformats.org/officeDocument/2006/relationships/customXml" Target="../customXml/item35.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theme" Target="theme/theme1.xml"/><Relationship Id="rId29" Type="http://schemas.openxmlformats.org/officeDocument/2006/relationships/customXml" Target="../customXml/item9.xml"/><Relationship Id="rId11" Type="http://schemas.openxmlformats.org/officeDocument/2006/relationships/pivotCacheDefinition" Target="pivotCache/pivotCacheDefinition9.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3" Type="http://schemas.openxmlformats.org/officeDocument/2006/relationships/customXml" Target="../customXml/item33.xml"/><Relationship Id="rId58" Type="http://schemas.openxmlformats.org/officeDocument/2006/relationships/customXml" Target="../customXml/item38.xml"/><Relationship Id="rId5" Type="http://schemas.openxmlformats.org/officeDocument/2006/relationships/pivotCacheDefinition" Target="pivotCache/pivotCacheDefinition3.xml"/><Relationship Id="rId61" Type="http://schemas.openxmlformats.org/officeDocument/2006/relationships/customXml" Target="../customXml/item41.xml"/><Relationship Id="rId19" Type="http://schemas.openxmlformats.org/officeDocument/2006/relationships/sharedStrings" Target="sharedStrings.xml"/><Relationship Id="rId14" Type="http://schemas.openxmlformats.org/officeDocument/2006/relationships/pivotCacheDefinition" Target="pivotCache/pivotCacheDefinition12.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56" Type="http://schemas.openxmlformats.org/officeDocument/2006/relationships/customXml" Target="../customXml/item36.xml"/><Relationship Id="rId8" Type="http://schemas.openxmlformats.org/officeDocument/2006/relationships/pivotCacheDefinition" Target="pivotCache/pivotCacheDefinition6.xml"/><Relationship Id="rId51" Type="http://schemas.openxmlformats.org/officeDocument/2006/relationships/customXml" Target="../customXml/item3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connections" Target="connection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59" Type="http://schemas.openxmlformats.org/officeDocument/2006/relationships/customXml" Target="../customXml/item39.xml"/><Relationship Id="rId20" Type="http://schemas.openxmlformats.org/officeDocument/2006/relationships/powerPivotData" Target="model/item.data"/><Relationship Id="rId41" Type="http://schemas.openxmlformats.org/officeDocument/2006/relationships/customXml" Target="../customXml/item21.xml"/><Relationship Id="rId54" Type="http://schemas.openxmlformats.org/officeDocument/2006/relationships/customXml" Target="../customXml/item34.xml"/><Relationship Id="rId62" Type="http://schemas.openxmlformats.org/officeDocument/2006/relationships/customXml" Target="../customXml/item4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1.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57" Type="http://schemas.openxmlformats.org/officeDocument/2006/relationships/customXml" Target="../customXml/item37.xml"/><Relationship Id="rId10" Type="http://schemas.openxmlformats.org/officeDocument/2006/relationships/pivotCacheDefinition" Target="pivotCache/pivotCacheDefinition8.xml"/><Relationship Id="rId31" Type="http://schemas.openxmlformats.org/officeDocument/2006/relationships/customXml" Target="../customXml/item11.xml"/><Relationship Id="rId44" Type="http://schemas.openxmlformats.org/officeDocument/2006/relationships/customXml" Target="../customXml/item24.xml"/><Relationship Id="rId52" Type="http://schemas.openxmlformats.org/officeDocument/2006/relationships/customXml" Target="../customXml/item32.xml"/><Relationship Id="rId60" Type="http://schemas.openxmlformats.org/officeDocument/2006/relationships/customXml" Target="../customXml/item40.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74700763023817"/>
          <c:y val="4.0642856245840082E-2"/>
          <c:w val="0.56439953519741926"/>
          <c:h val="0.81487335016137341"/>
        </c:manualLayout>
      </c:layout>
      <c:barChart>
        <c:barDir val="bar"/>
        <c:grouping val="clustered"/>
        <c:varyColors val="0"/>
        <c:ser>
          <c:idx val="0"/>
          <c:order val="0"/>
          <c:tx>
            <c:strRef>
              <c:f>'PIVOT TABLE'!$B$9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TABLE'!$A$10:$A$14</c:f>
              <c:strCache>
                <c:ptCount val="4"/>
                <c:pt idx="0">
                  <c:v>Asia</c:v>
                </c:pt>
                <c:pt idx="1">
                  <c:v>Australia</c:v>
                </c:pt>
                <c:pt idx="2">
                  <c:v>Europe</c:v>
                </c:pt>
                <c:pt idx="3">
                  <c:v>North America</c:v>
                </c:pt>
              </c:strCache>
            </c:strRef>
          </c:cat>
          <c:val>
            <c:numRef>
              <c:f>'PIVOT TABLE'!$B$10:$B$14</c:f>
              <c:numCache>
                <c:formatCode>General</c:formatCode>
                <c:ptCount val="4"/>
                <c:pt idx="0">
                  <c:v>747</c:v>
                </c:pt>
                <c:pt idx="1">
                  <c:v>794</c:v>
                </c:pt>
                <c:pt idx="2">
                  <c:v>719</c:v>
                </c:pt>
                <c:pt idx="3">
                  <c:v>740</c:v>
                </c:pt>
              </c:numCache>
            </c:numRef>
          </c:val>
          <c:extLst>
            <c:ext xmlns:c16="http://schemas.microsoft.com/office/drawing/2014/chart" uri="{C3380CC4-5D6E-409C-BE32-E72D297353CC}">
              <c16:uniqueId val="{00000000-2192-4C93-9560-BE68F4A8F8BB}"/>
            </c:ext>
          </c:extLst>
        </c:ser>
        <c:dLbls>
          <c:dLblPos val="outEnd"/>
          <c:showLegendKey val="0"/>
          <c:showVal val="1"/>
          <c:showCatName val="0"/>
          <c:showSerName val="0"/>
          <c:showPercent val="0"/>
          <c:showBubbleSize val="0"/>
        </c:dLbls>
        <c:gapWidth val="60"/>
        <c:axId val="1137061631"/>
        <c:axId val="1067279759"/>
      </c:barChart>
      <c:catAx>
        <c:axId val="1137061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279759"/>
        <c:crosses val="autoZero"/>
        <c:auto val="1"/>
        <c:lblAlgn val="ctr"/>
        <c:lblOffset val="100"/>
        <c:noMultiLvlLbl val="0"/>
      </c:catAx>
      <c:valAx>
        <c:axId val="10672797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061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TABLE!PivotTable7</c:name>
    <c:fmtId val="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4977355072463769"/>
              <c:y val="2.744507288701584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0.10448351734565792"/>
              <c:y val="-8.99258191317634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103260869565215"/>
                  <c:h val="9.3779650783088739E-2"/>
                </c:manualLayout>
              </c15:layout>
            </c:ext>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103260869565215"/>
                  <c:h val="0.15637745985977106"/>
                </c:manualLayout>
              </c15:layout>
            </c:ext>
          </c:extLst>
        </c:dLbl>
      </c:pivotFmt>
      <c:pivotFmt>
        <c:idx val="7"/>
        <c:spPr>
          <a:ln w="28575" cap="rnd">
            <a:solidFill>
              <a:schemeClr val="accent1"/>
            </a:solidFill>
            <a:round/>
          </a:ln>
          <a:effectLst/>
        </c:spPr>
        <c:marker>
          <c:symbol val="none"/>
        </c:marker>
        <c:dLbl>
          <c:idx val="0"/>
          <c:layout>
            <c:manualLayout>
              <c:x val="-6.7516475522081648E-2"/>
              <c:y val="-8.99258191317634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layout>
            <c:manualLayout>
              <c:x val="-9.0896739130434778E-2"/>
              <c:y val="5.09192512907717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layout>
            <c:manualLayout>
              <c:x val="-6.3722826086956522E-2"/>
              <c:y val="-9.7750545266348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layout>
            <c:manualLayout>
              <c:x val="-4.1780782836927993E-3"/>
              <c:y val="0.1604654171749657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layout>
            <c:manualLayout>
              <c:x val="-0.10448369565217408"/>
              <c:y val="6.65687035599423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layout>
            <c:manualLayout>
              <c:x val="-9.0896739130434778E-2"/>
              <c:y val="-9.77505452663487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644599452242381E-2"/>
          <c:y val="4.4612893537561524E-2"/>
          <c:w val="0.92776660390277321"/>
          <c:h val="0.56294185241770156"/>
        </c:manualLayout>
      </c:layout>
      <c:lineChart>
        <c:grouping val="standard"/>
        <c:varyColors val="0"/>
        <c:ser>
          <c:idx val="0"/>
          <c:order val="0"/>
          <c:tx>
            <c:strRef>
              <c:f>'PIVOT TABLE'!$H$16</c:f>
              <c:strCache>
                <c:ptCount val="1"/>
                <c:pt idx="0">
                  <c:v>Total</c:v>
                </c:pt>
              </c:strCache>
            </c:strRef>
          </c:tx>
          <c:spPr>
            <a:ln w="28575" cap="rnd">
              <a:solidFill>
                <a:schemeClr val="accent1"/>
              </a:solidFill>
              <a:round/>
            </a:ln>
            <a:effectLst/>
          </c:spPr>
          <c:marker>
            <c:symbol val="none"/>
          </c:marker>
          <c:dPt>
            <c:idx val="1"/>
            <c:marker>
              <c:symbol val="none"/>
            </c:marker>
            <c:bubble3D val="0"/>
            <c:extLst>
              <c:ext xmlns:c16="http://schemas.microsoft.com/office/drawing/2014/chart" uri="{C3380CC4-5D6E-409C-BE32-E72D297353CC}">
                <c16:uniqueId val="{00000002-8D94-4EE3-A20E-55020EB3EAF1}"/>
              </c:ext>
            </c:extLst>
          </c:dPt>
          <c:dPt>
            <c:idx val="2"/>
            <c:marker>
              <c:symbol val="none"/>
            </c:marker>
            <c:bubble3D val="0"/>
            <c:extLst>
              <c:ext xmlns:c16="http://schemas.microsoft.com/office/drawing/2014/chart" uri="{C3380CC4-5D6E-409C-BE32-E72D297353CC}">
                <c16:uniqueId val="{00000003-8D94-4EE3-A20E-55020EB3EAF1}"/>
              </c:ext>
            </c:extLst>
          </c:dPt>
          <c:dPt>
            <c:idx val="3"/>
            <c:marker>
              <c:symbol val="none"/>
            </c:marker>
            <c:bubble3D val="0"/>
            <c:extLst>
              <c:ext xmlns:c16="http://schemas.microsoft.com/office/drawing/2014/chart" uri="{C3380CC4-5D6E-409C-BE32-E72D297353CC}">
                <c16:uniqueId val="{00000004-8D94-4EE3-A20E-55020EB3EAF1}"/>
              </c:ext>
            </c:extLst>
          </c:dPt>
          <c:dPt>
            <c:idx val="4"/>
            <c:marker>
              <c:symbol val="none"/>
            </c:marker>
            <c:bubble3D val="0"/>
            <c:extLst>
              <c:ext xmlns:c16="http://schemas.microsoft.com/office/drawing/2014/chart" uri="{C3380CC4-5D6E-409C-BE32-E72D297353CC}">
                <c16:uniqueId val="{00000007-8D94-4EE3-A20E-55020EB3EAF1}"/>
              </c:ext>
            </c:extLst>
          </c:dPt>
          <c:dPt>
            <c:idx val="5"/>
            <c:marker>
              <c:symbol val="none"/>
            </c:marker>
            <c:bubble3D val="0"/>
            <c:extLst>
              <c:ext xmlns:c16="http://schemas.microsoft.com/office/drawing/2014/chart" uri="{C3380CC4-5D6E-409C-BE32-E72D297353CC}">
                <c16:uniqueId val="{00000006-8D94-4EE3-A20E-55020EB3EAF1}"/>
              </c:ext>
            </c:extLst>
          </c:dPt>
          <c:dPt>
            <c:idx val="6"/>
            <c:marker>
              <c:symbol val="none"/>
            </c:marker>
            <c:bubble3D val="0"/>
            <c:extLst>
              <c:ext xmlns:c16="http://schemas.microsoft.com/office/drawing/2014/chart" uri="{C3380CC4-5D6E-409C-BE32-E72D297353CC}">
                <c16:uniqueId val="{0000000A-8D94-4EE3-A20E-55020EB3EAF1}"/>
              </c:ext>
            </c:extLst>
          </c:dPt>
          <c:dPt>
            <c:idx val="7"/>
            <c:marker>
              <c:symbol val="none"/>
            </c:marker>
            <c:bubble3D val="0"/>
            <c:extLst>
              <c:ext xmlns:c16="http://schemas.microsoft.com/office/drawing/2014/chart" uri="{C3380CC4-5D6E-409C-BE32-E72D297353CC}">
                <c16:uniqueId val="{00000009-8D94-4EE3-A20E-55020EB3EAF1}"/>
              </c:ext>
            </c:extLst>
          </c:dPt>
          <c:dPt>
            <c:idx val="8"/>
            <c:marker>
              <c:symbol val="none"/>
            </c:marker>
            <c:bubble3D val="0"/>
            <c:extLst>
              <c:ext xmlns:c16="http://schemas.microsoft.com/office/drawing/2014/chart" uri="{C3380CC4-5D6E-409C-BE32-E72D297353CC}">
                <c16:uniqueId val="{00000005-8D94-4EE3-A20E-55020EB3EAF1}"/>
              </c:ext>
            </c:extLst>
          </c:dPt>
          <c:dPt>
            <c:idx val="9"/>
            <c:marker>
              <c:symbol val="none"/>
            </c:marker>
            <c:bubble3D val="0"/>
            <c:extLst>
              <c:ext xmlns:c16="http://schemas.microsoft.com/office/drawing/2014/chart" uri="{C3380CC4-5D6E-409C-BE32-E72D297353CC}">
                <c16:uniqueId val="{00000008-8D94-4EE3-A20E-55020EB3EAF1}"/>
              </c:ext>
            </c:extLst>
          </c:dPt>
          <c:dLbls>
            <c:dLbl>
              <c:idx val="1"/>
              <c:layout>
                <c:manualLayout>
                  <c:x val="-0.14977355072463769"/>
                  <c:y val="2.7445072887015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D94-4EE3-A20E-55020EB3EAF1}"/>
                </c:ext>
              </c:extLst>
            </c:dLbl>
            <c:dLbl>
              <c:idx val="2"/>
              <c:layout>
                <c:manualLayout>
                  <c:x val="-0.10448351734565792"/>
                  <c:y val="-8.9925819131763465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layout>
                    <c:manualLayout>
                      <c:w val="0.14103260869565215"/>
                      <c:h val="9.3779650783088739E-2"/>
                    </c:manualLayout>
                  </c15:layout>
                </c:ext>
                <c:ext xmlns:c16="http://schemas.microsoft.com/office/drawing/2014/chart" uri="{C3380CC4-5D6E-409C-BE32-E72D297353CC}">
                  <c16:uniqueId val="{00000003-8D94-4EE3-A20E-55020EB3EAF1}"/>
                </c:ext>
              </c:extLst>
            </c:dLbl>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manualLayout>
                      <c:w val="0.14103260869565215"/>
                      <c:h val="0.15637745985977106"/>
                    </c:manualLayout>
                  </c15:layout>
                </c:ext>
                <c:ext xmlns:c16="http://schemas.microsoft.com/office/drawing/2014/chart" uri="{C3380CC4-5D6E-409C-BE32-E72D297353CC}">
                  <c16:uniqueId val="{00000004-8D94-4EE3-A20E-55020EB3EAF1}"/>
                </c:ext>
              </c:extLst>
            </c:dLbl>
            <c:dLbl>
              <c:idx val="4"/>
              <c:layout>
                <c:manualLayout>
                  <c:x val="-6.3722826086956522E-2"/>
                  <c:y val="-9.775054526634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D94-4EE3-A20E-55020EB3EAF1}"/>
                </c:ext>
              </c:extLst>
            </c:dLbl>
            <c:dLbl>
              <c:idx val="5"/>
              <c:layout>
                <c:manualLayout>
                  <c:x val="-9.0896739130434778E-2"/>
                  <c:y val="5.091925129077175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D94-4EE3-A20E-55020EB3EAF1}"/>
                </c:ext>
              </c:extLst>
            </c:dLbl>
            <c:dLbl>
              <c:idx val="6"/>
              <c:layout>
                <c:manualLayout>
                  <c:x val="-9.0896739130434778E-2"/>
                  <c:y val="-9.77505452663487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8D94-4EE3-A20E-55020EB3EAF1}"/>
                </c:ext>
              </c:extLst>
            </c:dLbl>
            <c:dLbl>
              <c:idx val="7"/>
              <c:layout>
                <c:manualLayout>
                  <c:x val="-0.10448369565217408"/>
                  <c:y val="6.65687035599423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8D94-4EE3-A20E-55020EB3EAF1}"/>
                </c:ext>
              </c:extLst>
            </c:dLbl>
            <c:dLbl>
              <c:idx val="8"/>
              <c:layout>
                <c:manualLayout>
                  <c:x val="-6.7516475522081648E-2"/>
                  <c:y val="-8.99258191317634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D94-4EE3-A20E-55020EB3EAF1}"/>
                </c:ext>
              </c:extLst>
            </c:dLbl>
            <c:dLbl>
              <c:idx val="9"/>
              <c:layout>
                <c:manualLayout>
                  <c:x val="-4.1780782836927993E-3"/>
                  <c:y val="0.16046541717496576"/>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8D94-4EE3-A20E-55020EB3EAF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TABLE'!$G$17:$G$27</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'PIVOT TABLE'!$H$17:$H$27</c:f>
              <c:numCache>
                <c:formatCode>0.0</c:formatCode>
                <c:ptCount val="10"/>
                <c:pt idx="0">
                  <c:v>1149.1453287197232</c:v>
                </c:pt>
                <c:pt idx="1">
                  <c:v>1089.5337620578778</c:v>
                </c:pt>
                <c:pt idx="2">
                  <c:v>1088.8344155844156</c:v>
                </c:pt>
                <c:pt idx="3">
                  <c:v>1097.6996904024768</c:v>
                </c:pt>
                <c:pt idx="4">
                  <c:v>1084.3501683501684</c:v>
                </c:pt>
                <c:pt idx="5">
                  <c:v>1062.3881118881118</c:v>
                </c:pt>
                <c:pt idx="6">
                  <c:v>1129.1638225255972</c:v>
                </c:pt>
                <c:pt idx="7">
                  <c:v>1097.7382550335572</c:v>
                </c:pt>
                <c:pt idx="8">
                  <c:v>1123.0627177700349</c:v>
                </c:pt>
                <c:pt idx="9">
                  <c:v>1121.9025974025974</c:v>
                </c:pt>
              </c:numCache>
            </c:numRef>
          </c:val>
          <c:smooth val="0"/>
          <c:extLst>
            <c:ext xmlns:c16="http://schemas.microsoft.com/office/drawing/2014/chart" uri="{C3380CC4-5D6E-409C-BE32-E72D297353CC}">
              <c16:uniqueId val="{00000000-8D94-4EE3-A20E-55020EB3EAF1}"/>
            </c:ext>
          </c:extLst>
        </c:ser>
        <c:dLbls>
          <c:dLblPos val="t"/>
          <c:showLegendKey val="0"/>
          <c:showVal val="1"/>
          <c:showCatName val="0"/>
          <c:showSerName val="0"/>
          <c:showPercent val="0"/>
          <c:showBubbleSize val="0"/>
        </c:dLbls>
        <c:smooth val="0"/>
        <c:axId val="2066851919"/>
        <c:axId val="1067272559"/>
      </c:lineChart>
      <c:catAx>
        <c:axId val="2066851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272559"/>
        <c:crosses val="autoZero"/>
        <c:auto val="1"/>
        <c:lblAlgn val="ctr"/>
        <c:lblOffset val="100"/>
        <c:noMultiLvlLbl val="0"/>
      </c:catAx>
      <c:valAx>
        <c:axId val="1067272559"/>
        <c:scaling>
          <c:orientation val="minMax"/>
        </c:scaling>
        <c:delete val="1"/>
        <c:axPos val="l"/>
        <c:numFmt formatCode="0.0" sourceLinked="1"/>
        <c:majorTickMark val="none"/>
        <c:minorTickMark val="none"/>
        <c:tickLblPos val="nextTo"/>
        <c:crossAx val="2066851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0.36699456371372385"/>
          <c:y val="0"/>
          <c:w val="0.51151490679049738"/>
          <c:h val="0.85905135063858662"/>
        </c:manualLayout>
      </c:layout>
      <c:pieChart>
        <c:varyColors val="1"/>
        <c:ser>
          <c:idx val="0"/>
          <c:order val="0"/>
          <c:tx>
            <c:strRef>
              <c:f>'PIVOT TABLE'!$H$9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38-4823-A018-D7F1B38F8F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38-4823-A018-D7F1B38F8F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738-4823-A018-D7F1B38F8F9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TABLE'!$G$10:$G$13</c:f>
              <c:strCache>
                <c:ptCount val="3"/>
                <c:pt idx="0">
                  <c:v>Commercial</c:v>
                </c:pt>
                <c:pt idx="1">
                  <c:v>Fleet</c:v>
                </c:pt>
                <c:pt idx="2">
                  <c:v>Personal</c:v>
                </c:pt>
              </c:strCache>
            </c:strRef>
          </c:cat>
          <c:val>
            <c:numRef>
              <c:f>'PIVOT TABLE'!$H$10:$H$13</c:f>
              <c:numCache>
                <c:formatCode>General</c:formatCode>
                <c:ptCount val="3"/>
                <c:pt idx="0">
                  <c:v>996</c:v>
                </c:pt>
                <c:pt idx="1">
                  <c:v>984</c:v>
                </c:pt>
                <c:pt idx="2">
                  <c:v>1020</c:v>
                </c:pt>
              </c:numCache>
            </c:numRef>
          </c:val>
          <c:extLst>
            <c:ext xmlns:c16="http://schemas.microsoft.com/office/drawing/2014/chart" uri="{C3380CC4-5D6E-409C-BE32-E72D297353CC}">
              <c16:uniqueId val="{00000006-B738-4823-A018-D7F1B38F8F9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l"/>
      <c:layout>
        <c:manualLayout>
          <c:xMode val="edge"/>
          <c:yMode val="edge"/>
          <c:x val="2.3741690408357077E-2"/>
          <c:y val="0.21042522196687136"/>
          <c:w val="0.28630945704436517"/>
          <c:h val="0.46750681284456669"/>
        </c:manualLayout>
      </c:layout>
      <c:overlay val="0"/>
      <c:spPr>
        <a:noFill/>
        <a:ln>
          <a:noFill/>
        </a:ln>
        <a:effectLst>
          <a:glow rad="63500">
            <a:schemeClr val="accent1">
              <a:satMod val="175000"/>
              <a:alpha val="40000"/>
            </a:schemeClr>
          </a:glow>
          <a:softEdge rad="254000"/>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408232507521925"/>
          <c:y val="2.9063004448387619E-2"/>
          <c:w val="0.72372255297356125"/>
          <c:h val="0.89672501874765653"/>
        </c:manualLayout>
      </c:layout>
      <c:barChart>
        <c:barDir val="bar"/>
        <c:grouping val="clustered"/>
        <c:varyColors val="0"/>
        <c:ser>
          <c:idx val="0"/>
          <c:order val="0"/>
          <c:tx>
            <c:strRef>
              <c:f>'PIVOT TABLE'!$B$16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TABLE'!$A$17:$A$27</c:f>
              <c:strCache>
                <c:ptCount val="10"/>
                <c:pt idx="0">
                  <c:v>Audi</c:v>
                </c:pt>
                <c:pt idx="1">
                  <c:v>BMW</c:v>
                </c:pt>
                <c:pt idx="2">
                  <c:v>Chevrolet</c:v>
                </c:pt>
                <c:pt idx="3">
                  <c:v>Ford</c:v>
                </c:pt>
                <c:pt idx="4">
                  <c:v>Hyundai</c:v>
                </c:pt>
                <c:pt idx="5">
                  <c:v>Kia</c:v>
                </c:pt>
                <c:pt idx="6">
                  <c:v>Mercedes</c:v>
                </c:pt>
                <c:pt idx="7">
                  <c:v>Nissan</c:v>
                </c:pt>
                <c:pt idx="8">
                  <c:v>Tesla</c:v>
                </c:pt>
                <c:pt idx="9">
                  <c:v>Volkswagen</c:v>
                </c:pt>
              </c:strCache>
            </c:strRef>
          </c:cat>
          <c:val>
            <c:numRef>
              <c:f>'PIVOT TABLE'!$B$17:$B$27</c:f>
              <c:numCache>
                <c:formatCode>General</c:formatCode>
                <c:ptCount val="10"/>
                <c:pt idx="0">
                  <c:v>289</c:v>
                </c:pt>
                <c:pt idx="1">
                  <c:v>311</c:v>
                </c:pt>
                <c:pt idx="2">
                  <c:v>308</c:v>
                </c:pt>
                <c:pt idx="3">
                  <c:v>323</c:v>
                </c:pt>
                <c:pt idx="4">
                  <c:v>297</c:v>
                </c:pt>
                <c:pt idx="5">
                  <c:v>286</c:v>
                </c:pt>
                <c:pt idx="6">
                  <c:v>293</c:v>
                </c:pt>
                <c:pt idx="7">
                  <c:v>298</c:v>
                </c:pt>
                <c:pt idx="8">
                  <c:v>287</c:v>
                </c:pt>
                <c:pt idx="9">
                  <c:v>308</c:v>
                </c:pt>
              </c:numCache>
            </c:numRef>
          </c:val>
          <c:extLst>
            <c:ext xmlns:c16="http://schemas.microsoft.com/office/drawing/2014/chart" uri="{C3380CC4-5D6E-409C-BE32-E72D297353CC}">
              <c16:uniqueId val="{00000000-6AFE-46DB-8A22-9BE6D1C67C59}"/>
            </c:ext>
          </c:extLst>
        </c:ser>
        <c:dLbls>
          <c:dLblPos val="outEnd"/>
          <c:showLegendKey val="0"/>
          <c:showVal val="1"/>
          <c:showCatName val="0"/>
          <c:showSerName val="0"/>
          <c:showPercent val="0"/>
          <c:showBubbleSize val="0"/>
        </c:dLbls>
        <c:gapWidth val="46"/>
        <c:axId val="2066843103"/>
        <c:axId val="1067206799"/>
      </c:barChart>
      <c:catAx>
        <c:axId val="2066843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7206799"/>
        <c:crosses val="autoZero"/>
        <c:auto val="1"/>
        <c:lblAlgn val="ctr"/>
        <c:lblOffset val="100"/>
        <c:noMultiLvlLbl val="0"/>
      </c:catAx>
      <c:valAx>
        <c:axId val="1067206799"/>
        <c:scaling>
          <c:orientation val="minMax"/>
        </c:scaling>
        <c:delete val="1"/>
        <c:axPos val="b"/>
        <c:numFmt formatCode="General" sourceLinked="1"/>
        <c:majorTickMark val="none"/>
        <c:minorTickMark val="none"/>
        <c:tickLblPos val="nextTo"/>
        <c:crossAx val="2066843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TABLE!PivotTable8</c:name>
    <c:fmtId val="5"/>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marker>
          <c:symbol val="none"/>
        </c:marker>
        <c:dLbl>
          <c:idx val="0"/>
          <c:spPr>
            <a:noFill/>
            <a:ln>
              <a:noFill/>
            </a:ln>
            <a:effectLst/>
          </c:spPr>
          <c:txPr>
            <a:bodyPr rot="0" spcFirstLastPara="1" vertOverflow="ellipsis" wrap="square" lIns="0" tIns="0" rIns="0" bIns="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7"/>
        <c:spPr>
          <a:solidFill>
            <a:schemeClr val="accent1"/>
          </a:solidFill>
          <a:ln w="19050">
            <a:solidFill>
              <a:schemeClr val="lt1"/>
            </a:solidFill>
          </a:ln>
          <a:effectLst/>
        </c:spPr>
      </c:pivotFmt>
      <c:pivotFmt>
        <c:idx val="8"/>
        <c:spPr>
          <a:solidFill>
            <a:schemeClr val="accent2"/>
          </a:solidFill>
          <a:ln w="19050">
            <a:solidFill>
              <a:schemeClr val="lt1"/>
            </a:solidFill>
          </a:ln>
          <a:effectLst/>
        </c:spPr>
      </c:pivotFmt>
      <c:pivotFmt>
        <c:idx val="9"/>
        <c:spPr>
          <a:solidFill>
            <a:schemeClr val="accent3"/>
          </a:solidFill>
          <a:ln w="19050">
            <a:solidFill>
              <a:schemeClr val="lt1"/>
            </a:solidFill>
          </a:ln>
          <a:effectLst/>
        </c:spPr>
      </c:pivotFmt>
      <c:pivotFmt>
        <c:idx val="10"/>
        <c:spPr>
          <a:solidFill>
            <a:schemeClr val="accent4"/>
          </a:solidFill>
          <a:ln w="19050">
            <a:solidFill>
              <a:schemeClr val="lt1"/>
            </a:solidFill>
          </a:ln>
          <a:effectLst/>
        </c:spPr>
      </c:pivotFmt>
    </c:pivotFmts>
    <c:plotArea>
      <c:layout>
        <c:manualLayout>
          <c:layoutTarget val="inner"/>
          <c:xMode val="edge"/>
          <c:yMode val="edge"/>
          <c:x val="0.29989268280717241"/>
          <c:y val="7.2072744461444726E-3"/>
          <c:w val="0.41579095837319402"/>
          <c:h val="0.84340535632098124"/>
        </c:manualLayout>
      </c:layout>
      <c:doughnutChart>
        <c:varyColors val="1"/>
        <c:ser>
          <c:idx val="0"/>
          <c:order val="0"/>
          <c:tx>
            <c:strRef>
              <c:f>'PIVOT TABLE'!$E$9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0E-493B-A20F-EA822FEF2AC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0E-493B-A20F-EA822FEF2AC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0E-493B-A20F-EA822FEF2AC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0E-493B-A20F-EA822FEF2AC6}"/>
              </c:ext>
            </c:extLst>
          </c:dPt>
          <c:dLbls>
            <c:spPr>
              <a:noFill/>
              <a:ln>
                <a:noFill/>
              </a:ln>
              <a:effectLst/>
            </c:spPr>
            <c:txPr>
              <a:bodyPr rot="0" spcFirstLastPara="1" vertOverflow="ellipsis" wrap="square" lIns="0" tIns="0" rIns="0" bIns="0" anchor="t" anchorCtr="0">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rect">
                    <a:avLst/>
                  </a:prstGeom>
                </c15:spPr>
              </c:ext>
            </c:extLst>
          </c:dLbls>
          <c:cat>
            <c:strRef>
              <c:f>'PIVOT TABLE'!$D$10:$D$14</c:f>
              <c:strCache>
                <c:ptCount val="4"/>
                <c:pt idx="0">
                  <c:v>Hatchback</c:v>
                </c:pt>
                <c:pt idx="1">
                  <c:v>Sedan</c:v>
                </c:pt>
                <c:pt idx="2">
                  <c:v>SUV</c:v>
                </c:pt>
                <c:pt idx="3">
                  <c:v>Truck</c:v>
                </c:pt>
              </c:strCache>
            </c:strRef>
          </c:cat>
          <c:val>
            <c:numRef>
              <c:f>'PIVOT TABLE'!$E$10:$E$14</c:f>
              <c:numCache>
                <c:formatCode>General</c:formatCode>
                <c:ptCount val="4"/>
                <c:pt idx="0">
                  <c:v>773</c:v>
                </c:pt>
                <c:pt idx="1">
                  <c:v>738</c:v>
                </c:pt>
                <c:pt idx="2">
                  <c:v>765</c:v>
                </c:pt>
                <c:pt idx="3">
                  <c:v>724</c:v>
                </c:pt>
              </c:numCache>
            </c:numRef>
          </c:val>
          <c:extLst>
            <c:ext xmlns:c16="http://schemas.microsoft.com/office/drawing/2014/chart" uri="{C3380CC4-5D6E-409C-BE32-E72D297353CC}">
              <c16:uniqueId val="{00000008-E20E-493B-A20F-EA822FEF2AC6}"/>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l"/>
      <c:layout>
        <c:manualLayout>
          <c:xMode val="edge"/>
          <c:yMode val="edge"/>
          <c:x val="2.336448598130841E-2"/>
          <c:y val="0.17811819731064424"/>
          <c:w val="0.21410362548139428"/>
          <c:h val="0.53317908721125495"/>
        </c:manualLayout>
      </c:layout>
      <c:overlay val="1"/>
      <c:spPr>
        <a:noFill/>
        <a:ln>
          <a:noFill/>
        </a:ln>
        <a:effectLst>
          <a:glow rad="812800">
            <a:schemeClr val="accent1">
              <a:alpha val="40000"/>
            </a:schemeClr>
          </a:glow>
          <a:softEdge rad="0"/>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[EXCEL_PROJECT.xlsx]PIVOT TABLE!PivotTable11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5516732283464561E-2"/>
          <c:y val="3.9775596770782788E-2"/>
          <c:w val="0.92239993438320211"/>
          <c:h val="0.81711012426764185"/>
        </c:manualLayout>
      </c:layout>
      <c:barChart>
        <c:barDir val="col"/>
        <c:grouping val="clustered"/>
        <c:varyColors val="0"/>
        <c:ser>
          <c:idx val="0"/>
          <c:order val="0"/>
          <c:tx>
            <c:strRef>
              <c:f>'PIVOT TABLE'!$E$16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TABLE'!$D$17:$D$21</c:f>
              <c:strCache>
                <c:ptCount val="4"/>
                <c:pt idx="0">
                  <c:v>Hatchback</c:v>
                </c:pt>
                <c:pt idx="1">
                  <c:v>Sedan</c:v>
                </c:pt>
                <c:pt idx="2">
                  <c:v>SUV</c:v>
                </c:pt>
                <c:pt idx="3">
                  <c:v>Truck</c:v>
                </c:pt>
              </c:strCache>
            </c:strRef>
          </c:cat>
          <c:val>
            <c:numRef>
              <c:f>'PIVOT TABLE'!$E$17:$E$21</c:f>
              <c:numCache>
                <c:formatCode>0.00</c:formatCode>
                <c:ptCount val="4"/>
                <c:pt idx="0">
                  <c:v>73.578913324708921</c:v>
                </c:pt>
                <c:pt idx="1">
                  <c:v>76.229945799457994</c:v>
                </c:pt>
                <c:pt idx="2">
                  <c:v>75.161568627450976</c:v>
                </c:pt>
                <c:pt idx="3">
                  <c:v>74.305939226519342</c:v>
                </c:pt>
              </c:numCache>
            </c:numRef>
          </c:val>
          <c:extLst>
            <c:ext xmlns:c16="http://schemas.microsoft.com/office/drawing/2014/chart" uri="{C3380CC4-5D6E-409C-BE32-E72D297353CC}">
              <c16:uniqueId val="{00000000-F421-41DA-BAC0-7BBDCF232ABB}"/>
            </c:ext>
          </c:extLst>
        </c:ser>
        <c:dLbls>
          <c:dLblPos val="outEnd"/>
          <c:showLegendKey val="0"/>
          <c:showVal val="1"/>
          <c:showCatName val="0"/>
          <c:showSerName val="0"/>
          <c:showPercent val="0"/>
          <c:showBubbleSize val="0"/>
        </c:dLbls>
        <c:gapWidth val="219"/>
        <c:overlap val="-27"/>
        <c:axId val="583432831"/>
        <c:axId val="1122922639"/>
      </c:barChart>
      <c:catAx>
        <c:axId val="58343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22922639"/>
        <c:crosses val="autoZero"/>
        <c:auto val="1"/>
        <c:lblAlgn val="ctr"/>
        <c:lblOffset val="100"/>
        <c:noMultiLvlLbl val="0"/>
      </c:catAx>
      <c:valAx>
        <c:axId val="1122922639"/>
        <c:scaling>
          <c:orientation val="minMax"/>
        </c:scaling>
        <c:delete val="1"/>
        <c:axPos val="l"/>
        <c:numFmt formatCode="0.00" sourceLinked="1"/>
        <c:majorTickMark val="none"/>
        <c:minorTickMark val="none"/>
        <c:tickLblPos val="nextTo"/>
        <c:crossAx val="583432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xdr:col>
      <xdr:colOff>739140</xdr:colOff>
      <xdr:row>0</xdr:row>
      <xdr:rowOff>38100</xdr:rowOff>
    </xdr:from>
    <xdr:to>
      <xdr:col>6</xdr:col>
      <xdr:colOff>129540</xdr:colOff>
      <xdr:row>2</xdr:row>
      <xdr:rowOff>137160</xdr:rowOff>
    </xdr:to>
    <xdr:sp macro="" textlink="">
      <xdr:nvSpPr>
        <xdr:cNvPr id="3" name="TextBox 2">
          <a:extLst>
            <a:ext uri="{FF2B5EF4-FFF2-40B4-BE49-F238E27FC236}">
              <a16:creationId xmlns:a16="http://schemas.microsoft.com/office/drawing/2014/main" id="{15703CC6-86D1-D1C2-815D-9F425B7E3235}"/>
            </a:ext>
          </a:extLst>
        </xdr:cNvPr>
        <xdr:cNvSpPr txBox="1"/>
      </xdr:nvSpPr>
      <xdr:spPr>
        <a:xfrm>
          <a:off x="1607820" y="38100"/>
          <a:ext cx="3931920" cy="4648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0">
              <a:latin typeface="Adobe Garamond Pro" panose="02020502060506020403" pitchFamily="18" charset="0"/>
            </a:rPr>
            <a:t>EV_Data Pivot Tables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236220</xdr:colOff>
      <xdr:row>6</xdr:row>
      <xdr:rowOff>114300</xdr:rowOff>
    </xdr:from>
    <xdr:to>
      <xdr:col>7</xdr:col>
      <xdr:colOff>68580</xdr:colOff>
      <xdr:row>16</xdr:row>
      <xdr:rowOff>144780</xdr:rowOff>
    </xdr:to>
    <xdr:sp macro="" textlink="">
      <xdr:nvSpPr>
        <xdr:cNvPr id="12" name="Rectangle: Rounded Corners 11">
          <a:extLst>
            <a:ext uri="{FF2B5EF4-FFF2-40B4-BE49-F238E27FC236}">
              <a16:creationId xmlns:a16="http://schemas.microsoft.com/office/drawing/2014/main" id="{782EEDAB-2D1B-101B-6250-9C76855DB6B0}"/>
            </a:ext>
          </a:extLst>
        </xdr:cNvPr>
        <xdr:cNvSpPr/>
      </xdr:nvSpPr>
      <xdr:spPr>
        <a:xfrm>
          <a:off x="1455420" y="1211580"/>
          <a:ext cx="2880360" cy="185928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xdr:col>
      <xdr:colOff>365760</xdr:colOff>
      <xdr:row>7</xdr:row>
      <xdr:rowOff>0</xdr:rowOff>
    </xdr:from>
    <xdr:to>
      <xdr:col>6</xdr:col>
      <xdr:colOff>563880</xdr:colOff>
      <xdr:row>15</xdr:row>
      <xdr:rowOff>129540</xdr:rowOff>
    </xdr:to>
    <xdr:graphicFrame macro="">
      <xdr:nvGraphicFramePr>
        <xdr:cNvPr id="11" name="Chart 10">
          <a:extLst>
            <a:ext uri="{FF2B5EF4-FFF2-40B4-BE49-F238E27FC236}">
              <a16:creationId xmlns:a16="http://schemas.microsoft.com/office/drawing/2014/main" id="{63B75FB8-0F43-4A88-B254-AED01DB179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137160</xdr:colOff>
      <xdr:row>6</xdr:row>
      <xdr:rowOff>121920</xdr:rowOff>
    </xdr:from>
    <xdr:to>
      <xdr:col>12</xdr:col>
      <xdr:colOff>220980</xdr:colOff>
      <xdr:row>16</xdr:row>
      <xdr:rowOff>152400</xdr:rowOff>
    </xdr:to>
    <xdr:sp macro="" textlink="">
      <xdr:nvSpPr>
        <xdr:cNvPr id="15" name="Rectangle: Rounded Corners 14">
          <a:extLst>
            <a:ext uri="{FF2B5EF4-FFF2-40B4-BE49-F238E27FC236}">
              <a16:creationId xmlns:a16="http://schemas.microsoft.com/office/drawing/2014/main" id="{73171386-D9BC-64FF-EFC8-DE10B0A74940}"/>
            </a:ext>
          </a:extLst>
        </xdr:cNvPr>
        <xdr:cNvSpPr/>
      </xdr:nvSpPr>
      <xdr:spPr>
        <a:xfrm>
          <a:off x="4404360" y="1219200"/>
          <a:ext cx="3131820" cy="185928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289560</xdr:colOff>
      <xdr:row>6</xdr:row>
      <xdr:rowOff>114300</xdr:rowOff>
    </xdr:from>
    <xdr:to>
      <xdr:col>18</xdr:col>
      <xdr:colOff>91440</xdr:colOff>
      <xdr:row>16</xdr:row>
      <xdr:rowOff>144780</xdr:rowOff>
    </xdr:to>
    <xdr:sp macro="" textlink="">
      <xdr:nvSpPr>
        <xdr:cNvPr id="17" name="Rectangle: Rounded Corners 16">
          <a:extLst>
            <a:ext uri="{FF2B5EF4-FFF2-40B4-BE49-F238E27FC236}">
              <a16:creationId xmlns:a16="http://schemas.microsoft.com/office/drawing/2014/main" id="{8847FF24-D4D4-E44A-0819-73EF63D5AD57}"/>
            </a:ext>
          </a:extLst>
        </xdr:cNvPr>
        <xdr:cNvSpPr/>
      </xdr:nvSpPr>
      <xdr:spPr>
        <a:xfrm>
          <a:off x="7604760" y="1211580"/>
          <a:ext cx="3497580" cy="185928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289560</xdr:colOff>
      <xdr:row>17</xdr:row>
      <xdr:rowOff>30480</xdr:rowOff>
    </xdr:from>
    <xdr:to>
      <xdr:col>18</xdr:col>
      <xdr:colOff>91440</xdr:colOff>
      <xdr:row>27</xdr:row>
      <xdr:rowOff>60960</xdr:rowOff>
    </xdr:to>
    <xdr:sp macro="" textlink="">
      <xdr:nvSpPr>
        <xdr:cNvPr id="18" name="Rectangle: Rounded Corners 17">
          <a:extLst>
            <a:ext uri="{FF2B5EF4-FFF2-40B4-BE49-F238E27FC236}">
              <a16:creationId xmlns:a16="http://schemas.microsoft.com/office/drawing/2014/main" id="{D1B2DAFC-C1D0-5F8D-86FF-78B48B403A6D}"/>
            </a:ext>
          </a:extLst>
        </xdr:cNvPr>
        <xdr:cNvSpPr/>
      </xdr:nvSpPr>
      <xdr:spPr>
        <a:xfrm>
          <a:off x="7604760" y="3139440"/>
          <a:ext cx="3497580" cy="1859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129540</xdr:colOff>
      <xdr:row>17</xdr:row>
      <xdr:rowOff>22860</xdr:rowOff>
    </xdr:from>
    <xdr:to>
      <xdr:col>12</xdr:col>
      <xdr:colOff>228600</xdr:colOff>
      <xdr:row>27</xdr:row>
      <xdr:rowOff>60960</xdr:rowOff>
    </xdr:to>
    <xdr:sp macro="" textlink="">
      <xdr:nvSpPr>
        <xdr:cNvPr id="19" name="Rectangle: Rounded Corners 18">
          <a:extLst>
            <a:ext uri="{FF2B5EF4-FFF2-40B4-BE49-F238E27FC236}">
              <a16:creationId xmlns:a16="http://schemas.microsoft.com/office/drawing/2014/main" id="{CD6E6866-49BE-BC29-EC87-AB8D2442B278}"/>
            </a:ext>
          </a:extLst>
        </xdr:cNvPr>
        <xdr:cNvSpPr/>
      </xdr:nvSpPr>
      <xdr:spPr>
        <a:xfrm>
          <a:off x="4396740" y="3131820"/>
          <a:ext cx="3147060" cy="186690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236220</xdr:colOff>
      <xdr:row>17</xdr:row>
      <xdr:rowOff>22860</xdr:rowOff>
    </xdr:from>
    <xdr:to>
      <xdr:col>7</xdr:col>
      <xdr:colOff>68580</xdr:colOff>
      <xdr:row>27</xdr:row>
      <xdr:rowOff>53340</xdr:rowOff>
    </xdr:to>
    <xdr:sp macro="" textlink="">
      <xdr:nvSpPr>
        <xdr:cNvPr id="20" name="Rectangle: Rounded Corners 19">
          <a:extLst>
            <a:ext uri="{FF2B5EF4-FFF2-40B4-BE49-F238E27FC236}">
              <a16:creationId xmlns:a16="http://schemas.microsoft.com/office/drawing/2014/main" id="{C63A87E7-0F18-6458-9432-C4109E8CB185}"/>
            </a:ext>
          </a:extLst>
        </xdr:cNvPr>
        <xdr:cNvSpPr/>
      </xdr:nvSpPr>
      <xdr:spPr>
        <a:xfrm>
          <a:off x="1455420" y="3131820"/>
          <a:ext cx="2880360" cy="1859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7</xdr:row>
      <xdr:rowOff>7620</xdr:rowOff>
    </xdr:from>
    <xdr:to>
      <xdr:col>12</xdr:col>
      <xdr:colOff>15240</xdr:colOff>
      <xdr:row>15</xdr:row>
      <xdr:rowOff>76200</xdr:rowOff>
    </xdr:to>
    <xdr:graphicFrame macro="">
      <xdr:nvGraphicFramePr>
        <xdr:cNvPr id="21" name="Chart 20">
          <a:extLst>
            <a:ext uri="{FF2B5EF4-FFF2-40B4-BE49-F238E27FC236}">
              <a16:creationId xmlns:a16="http://schemas.microsoft.com/office/drawing/2014/main" id="{B8C3A7FF-69A7-4F2C-B000-961F36C14E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358140</xdr:colOff>
      <xdr:row>18</xdr:row>
      <xdr:rowOff>22860</xdr:rowOff>
    </xdr:from>
    <xdr:to>
      <xdr:col>6</xdr:col>
      <xdr:colOff>594360</xdr:colOff>
      <xdr:row>26</xdr:row>
      <xdr:rowOff>152400</xdr:rowOff>
    </xdr:to>
    <xdr:graphicFrame macro="">
      <xdr:nvGraphicFramePr>
        <xdr:cNvPr id="23" name="Chart 22">
          <a:extLst>
            <a:ext uri="{FF2B5EF4-FFF2-40B4-BE49-F238E27FC236}">
              <a16:creationId xmlns:a16="http://schemas.microsoft.com/office/drawing/2014/main" id="{A4DCE484-4EC2-4121-BD35-558428B914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228600</xdr:colOff>
      <xdr:row>17</xdr:row>
      <xdr:rowOff>53340</xdr:rowOff>
    </xdr:from>
    <xdr:to>
      <xdr:col>12</xdr:col>
      <xdr:colOff>83820</xdr:colOff>
      <xdr:row>26</xdr:row>
      <xdr:rowOff>114300</xdr:rowOff>
    </xdr:to>
    <xdr:graphicFrame macro="">
      <xdr:nvGraphicFramePr>
        <xdr:cNvPr id="26" name="Chart 25">
          <a:extLst>
            <a:ext uri="{FF2B5EF4-FFF2-40B4-BE49-F238E27FC236}">
              <a16:creationId xmlns:a16="http://schemas.microsoft.com/office/drawing/2014/main" id="{C967E450-70FB-40B9-8E5B-83821315B7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358140</xdr:colOff>
      <xdr:row>17</xdr:row>
      <xdr:rowOff>175260</xdr:rowOff>
    </xdr:from>
    <xdr:to>
      <xdr:col>17</xdr:col>
      <xdr:colOff>571500</xdr:colOff>
      <xdr:row>26</xdr:row>
      <xdr:rowOff>137160</xdr:rowOff>
    </xdr:to>
    <xdr:graphicFrame macro="">
      <xdr:nvGraphicFramePr>
        <xdr:cNvPr id="27" name="Chart 26">
          <a:extLst>
            <a:ext uri="{FF2B5EF4-FFF2-40B4-BE49-F238E27FC236}">
              <a16:creationId xmlns:a16="http://schemas.microsoft.com/office/drawing/2014/main" id="{9405C419-3981-4AAA-9CAC-8F7FED8DC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83820</xdr:colOff>
      <xdr:row>6</xdr:row>
      <xdr:rowOff>114300</xdr:rowOff>
    </xdr:from>
    <xdr:to>
      <xdr:col>2</xdr:col>
      <xdr:colOff>175260</xdr:colOff>
      <xdr:row>27</xdr:row>
      <xdr:rowOff>30480</xdr:rowOff>
    </xdr:to>
    <xdr:sp macro="" textlink="">
      <xdr:nvSpPr>
        <xdr:cNvPr id="29" name="Rectangle: Rounded Corners 28">
          <a:extLst>
            <a:ext uri="{FF2B5EF4-FFF2-40B4-BE49-F238E27FC236}">
              <a16:creationId xmlns:a16="http://schemas.microsoft.com/office/drawing/2014/main" id="{D31E2EC9-A465-E10D-5887-A1B40BF3C82F}"/>
            </a:ext>
          </a:extLst>
        </xdr:cNvPr>
        <xdr:cNvSpPr/>
      </xdr:nvSpPr>
      <xdr:spPr>
        <a:xfrm>
          <a:off x="83820" y="1211580"/>
          <a:ext cx="1310640" cy="3756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0</xdr:row>
      <xdr:rowOff>45720</xdr:rowOff>
    </xdr:from>
    <xdr:to>
      <xdr:col>18</xdr:col>
      <xdr:colOff>99060</xdr:colOff>
      <xdr:row>6</xdr:row>
      <xdr:rowOff>60960</xdr:rowOff>
    </xdr:to>
    <xdr:grpSp>
      <xdr:nvGrpSpPr>
        <xdr:cNvPr id="32" name="Group 31">
          <a:extLst>
            <a:ext uri="{FF2B5EF4-FFF2-40B4-BE49-F238E27FC236}">
              <a16:creationId xmlns:a16="http://schemas.microsoft.com/office/drawing/2014/main" id="{D3CCB37E-4A09-3D46-6FA2-46E6322F9AB4}"/>
            </a:ext>
          </a:extLst>
        </xdr:cNvPr>
        <xdr:cNvGrpSpPr/>
      </xdr:nvGrpSpPr>
      <xdr:grpSpPr>
        <a:xfrm>
          <a:off x="76200" y="45720"/>
          <a:ext cx="11033760" cy="1112520"/>
          <a:chOff x="76200" y="45720"/>
          <a:chExt cx="11033760" cy="1112520"/>
        </a:xfrm>
      </xdr:grpSpPr>
      <xdr:sp macro="" textlink="'PIVOT TABLE'!A6">
        <xdr:nvSpPr>
          <xdr:cNvPr id="2" name="Rectangle: Rounded Corners 1">
            <a:extLst>
              <a:ext uri="{FF2B5EF4-FFF2-40B4-BE49-F238E27FC236}">
                <a16:creationId xmlns:a16="http://schemas.microsoft.com/office/drawing/2014/main" id="{E695F962-4490-C788-1DA9-257A390C0192}"/>
              </a:ext>
            </a:extLst>
          </xdr:cNvPr>
          <xdr:cNvSpPr/>
        </xdr:nvSpPr>
        <xdr:spPr>
          <a:xfrm>
            <a:off x="3596640" y="60960"/>
            <a:ext cx="1379220" cy="1097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99179E6-A89C-4CEC-A736-07E400AAF7B8}" type="TxLink">
              <a:rPr lang="en-US" sz="1600" b="1" i="0" u="none" strike="noStrike">
                <a:ln>
                  <a:noFill/>
                </a:ln>
                <a:solidFill>
                  <a:srgbClr val="000000"/>
                </a:solidFill>
                <a:latin typeface="Aptos Narrow"/>
              </a:rPr>
              <a:pPr algn="ctr"/>
              <a:t>3000</a:t>
            </a:fld>
            <a:endParaRPr lang="en-US" sz="1600" b="1" i="0" u="none" strike="noStrike">
              <a:ln>
                <a:noFill/>
              </a:ln>
              <a:solidFill>
                <a:srgbClr val="000000"/>
              </a:solidFill>
              <a:latin typeface="Aptos Narrow"/>
            </a:endParaRPr>
          </a:p>
          <a:p>
            <a:pPr algn="ctr"/>
            <a:endParaRPr lang="en-US" sz="1200" b="1" i="0" u="none" strike="noStrike">
              <a:ln>
                <a:noFill/>
              </a:ln>
              <a:solidFill>
                <a:srgbClr val="000000"/>
              </a:solidFill>
              <a:latin typeface="Aptos Narrow"/>
            </a:endParaRPr>
          </a:p>
          <a:p>
            <a:pPr algn="ctr"/>
            <a:r>
              <a:rPr lang="en-US" sz="1400" b="1" i="0" u="none" strike="noStrike">
                <a:ln>
                  <a:noFill/>
                </a:ln>
                <a:solidFill>
                  <a:srgbClr val="000000"/>
                </a:solidFill>
                <a:latin typeface="Aptos Narrow"/>
              </a:rPr>
              <a:t>Total_Vehical</a:t>
            </a:r>
            <a:endParaRPr lang="en-IN" sz="1400" b="1">
              <a:ln>
                <a:noFill/>
              </a:ln>
            </a:endParaRPr>
          </a:p>
        </xdr:txBody>
      </xdr:sp>
      <xdr:sp macro="" textlink="'PIVOT TABLE'!C6">
        <xdr:nvSpPr>
          <xdr:cNvPr id="7" name="Rectangle: Rounded Corners 6">
            <a:extLst>
              <a:ext uri="{FF2B5EF4-FFF2-40B4-BE49-F238E27FC236}">
                <a16:creationId xmlns:a16="http://schemas.microsoft.com/office/drawing/2014/main" id="{E09EB3F3-C21A-1D1C-0F5F-81275FC77CB1}"/>
              </a:ext>
            </a:extLst>
          </xdr:cNvPr>
          <xdr:cNvSpPr/>
        </xdr:nvSpPr>
        <xdr:spPr>
          <a:xfrm>
            <a:off x="5029200" y="60960"/>
            <a:ext cx="1478280" cy="1097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5DC5F3A-453E-485C-A64E-BC9675A5AB58}" type="TxLink">
              <a:rPr lang="en-US" sz="1600" b="1" i="0" u="none" strike="noStrike">
                <a:ln>
                  <a:noFill/>
                </a:ln>
                <a:solidFill>
                  <a:srgbClr val="000000"/>
                </a:solidFill>
                <a:latin typeface="Aptos Narrow"/>
              </a:rPr>
              <a:pPr algn="ctr"/>
              <a:t>1495.47</a:t>
            </a:fld>
            <a:endParaRPr lang="en-US" sz="1600" b="1" i="0" u="none" strike="noStrike">
              <a:ln>
                <a:noFill/>
              </a:ln>
              <a:solidFill>
                <a:srgbClr val="000000"/>
              </a:solidFill>
              <a:latin typeface="Aptos Narrow"/>
            </a:endParaRPr>
          </a:p>
          <a:p>
            <a:pPr algn="ctr"/>
            <a:endParaRPr lang="en-US" sz="1100" b="1" i="0" u="none" strike="noStrike">
              <a:ln>
                <a:noFill/>
              </a:ln>
              <a:solidFill>
                <a:srgbClr val="000000"/>
              </a:solidFill>
              <a:latin typeface="Aptos Narrow"/>
            </a:endParaRPr>
          </a:p>
          <a:p>
            <a:pPr algn="ctr"/>
            <a:r>
              <a:rPr lang="en-US" sz="1400" b="1" i="0" u="none" strike="noStrike">
                <a:ln>
                  <a:noFill/>
                </a:ln>
                <a:solidFill>
                  <a:srgbClr val="000000"/>
                </a:solidFill>
                <a:latin typeface="Aptos Narrow"/>
              </a:rPr>
              <a:t>Insurence_Cost</a:t>
            </a:r>
            <a:endParaRPr lang="en-IN" sz="1400" b="1">
              <a:ln>
                <a:noFill/>
              </a:ln>
            </a:endParaRPr>
          </a:p>
        </xdr:txBody>
      </xdr:sp>
      <xdr:sp macro="" textlink="'PIVOT TABLE'!E6">
        <xdr:nvSpPr>
          <xdr:cNvPr id="8" name="Rectangle: Rounded Corners 7">
            <a:extLst>
              <a:ext uri="{FF2B5EF4-FFF2-40B4-BE49-F238E27FC236}">
                <a16:creationId xmlns:a16="http://schemas.microsoft.com/office/drawing/2014/main" id="{1B4955BD-6B58-F956-C796-02665139D0B0}"/>
              </a:ext>
            </a:extLst>
          </xdr:cNvPr>
          <xdr:cNvSpPr/>
        </xdr:nvSpPr>
        <xdr:spPr>
          <a:xfrm>
            <a:off x="6560820" y="60960"/>
            <a:ext cx="1440180" cy="1089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104C3A-E748-4DEC-A83E-1DBC15BD0114}" type="TxLink">
              <a:rPr lang="en-US" sz="1600" b="1" i="0" u="none" strike="noStrike">
                <a:ln>
                  <a:noFill/>
                </a:ln>
                <a:solidFill>
                  <a:srgbClr val="000000"/>
                </a:solidFill>
                <a:latin typeface="Aptos Narrow"/>
              </a:rPr>
              <a:pPr algn="ctr"/>
              <a:t>374.41</a:t>
            </a:fld>
            <a:endParaRPr lang="en-US" sz="1600" b="1" i="0" u="none" strike="noStrike">
              <a:ln>
                <a:noFill/>
              </a:ln>
              <a:solidFill>
                <a:srgbClr val="000000"/>
              </a:solidFill>
              <a:latin typeface="Aptos Narrow"/>
            </a:endParaRPr>
          </a:p>
          <a:p>
            <a:pPr algn="ctr"/>
            <a:endParaRPr lang="en-US" sz="1100" b="1" i="0" u="none" strike="noStrike">
              <a:ln>
                <a:noFill/>
              </a:ln>
              <a:solidFill>
                <a:srgbClr val="000000"/>
              </a:solidFill>
              <a:latin typeface="Aptos Narrow"/>
            </a:endParaRPr>
          </a:p>
          <a:p>
            <a:pPr algn="ctr"/>
            <a:r>
              <a:rPr lang="en-US" sz="1400" b="1" i="0" u="none" strike="noStrike">
                <a:ln>
                  <a:noFill/>
                </a:ln>
                <a:solidFill>
                  <a:srgbClr val="000000"/>
                </a:solidFill>
                <a:latin typeface="Aptos Narrow"/>
              </a:rPr>
              <a:t>AVG_Range_KM</a:t>
            </a:r>
            <a:endParaRPr lang="en-IN" sz="1400" b="1">
              <a:ln>
                <a:noFill/>
              </a:ln>
            </a:endParaRPr>
          </a:p>
        </xdr:txBody>
      </xdr:sp>
      <xdr:sp macro="" textlink="'PIVOT TABLE'!G6">
        <xdr:nvSpPr>
          <xdr:cNvPr id="9" name="Rectangle: Rounded Corners 8">
            <a:extLst>
              <a:ext uri="{FF2B5EF4-FFF2-40B4-BE49-F238E27FC236}">
                <a16:creationId xmlns:a16="http://schemas.microsoft.com/office/drawing/2014/main" id="{81B1F507-B982-752B-E6DE-01FD09CDE18D}"/>
              </a:ext>
            </a:extLst>
          </xdr:cNvPr>
          <xdr:cNvSpPr/>
        </xdr:nvSpPr>
        <xdr:spPr>
          <a:xfrm>
            <a:off x="8054340" y="53340"/>
            <a:ext cx="1493520" cy="1089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65BF86A-B124-4B67-8AC6-88AD32AB165F}" type="TxLink">
              <a:rPr lang="en-US" sz="1600" b="1" i="0" u="none" strike="noStrike">
                <a:ln>
                  <a:noFill/>
                </a:ln>
                <a:solidFill>
                  <a:srgbClr val="000000"/>
                </a:solidFill>
                <a:latin typeface="Aptos Narrow"/>
              </a:rPr>
              <a:pPr algn="ctr"/>
              <a:t>85.03</a:t>
            </a:fld>
            <a:endParaRPr lang="en-US" sz="1600" b="1" i="0" u="none" strike="noStrike">
              <a:ln>
                <a:noFill/>
              </a:ln>
              <a:solidFill>
                <a:srgbClr val="000000"/>
              </a:solidFill>
              <a:latin typeface="Aptos Narrow"/>
            </a:endParaRPr>
          </a:p>
          <a:p>
            <a:pPr algn="ctr"/>
            <a:endParaRPr lang="en-US" sz="1100" b="1" i="0" u="none" strike="noStrike">
              <a:ln>
                <a:noFill/>
              </a:ln>
              <a:solidFill>
                <a:srgbClr val="000000"/>
              </a:solidFill>
              <a:latin typeface="Aptos Narrow"/>
            </a:endParaRPr>
          </a:p>
          <a:p>
            <a:pPr algn="ctr"/>
            <a:r>
              <a:rPr lang="en-US" sz="1400" b="1" i="0" u="none" strike="noStrike">
                <a:ln>
                  <a:noFill/>
                </a:ln>
                <a:solidFill>
                  <a:srgbClr val="000000"/>
                </a:solidFill>
                <a:latin typeface="Aptos Narrow"/>
              </a:rPr>
              <a:t>Battery_Health</a:t>
            </a:r>
            <a:endParaRPr lang="en-IN" sz="1400" b="1">
              <a:ln>
                <a:noFill/>
              </a:ln>
            </a:endParaRPr>
          </a:p>
        </xdr:txBody>
      </xdr:sp>
      <xdr:sp macro="" textlink="'PIVOT TABLE'!I6">
        <xdr:nvSpPr>
          <xdr:cNvPr id="10" name="Rectangle: Rounded Corners 9">
            <a:extLst>
              <a:ext uri="{FF2B5EF4-FFF2-40B4-BE49-F238E27FC236}">
                <a16:creationId xmlns:a16="http://schemas.microsoft.com/office/drawing/2014/main" id="{C8C49F12-02FD-5BA3-2440-26AF6509DE40}"/>
              </a:ext>
            </a:extLst>
          </xdr:cNvPr>
          <xdr:cNvSpPr/>
        </xdr:nvSpPr>
        <xdr:spPr>
          <a:xfrm>
            <a:off x="9601200" y="45720"/>
            <a:ext cx="1508760" cy="10972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DC0C885-4CD5-4639-A9C1-AF6DDD42158C}" type="TxLink">
              <a:rPr lang="en-US" sz="1600" b="1" i="0" u="none" strike="noStrike">
                <a:ln>
                  <a:noFill/>
                </a:ln>
                <a:solidFill>
                  <a:srgbClr val="000000"/>
                </a:solidFill>
                <a:latin typeface="Aptos Narrow"/>
              </a:rPr>
              <a:pPr algn="ctr"/>
              <a:t>418.81</a:t>
            </a:fld>
            <a:endParaRPr lang="en-US" sz="1600" b="1" i="0" u="none" strike="noStrike">
              <a:ln>
                <a:noFill/>
              </a:ln>
              <a:solidFill>
                <a:srgbClr val="000000"/>
              </a:solidFill>
              <a:latin typeface="Aptos Narrow"/>
            </a:endParaRPr>
          </a:p>
          <a:p>
            <a:pPr algn="ctr"/>
            <a:endParaRPr lang="en-US" sz="1100" b="1" i="0" u="none" strike="noStrike">
              <a:ln>
                <a:noFill/>
              </a:ln>
              <a:solidFill>
                <a:srgbClr val="000000"/>
              </a:solidFill>
              <a:latin typeface="Aptos Narrow"/>
            </a:endParaRPr>
          </a:p>
          <a:p>
            <a:pPr algn="ctr"/>
            <a:r>
              <a:rPr lang="en-US" sz="1400" b="1" i="0" u="none" strike="noStrike">
                <a:ln>
                  <a:noFill/>
                </a:ln>
                <a:solidFill>
                  <a:srgbClr val="000000"/>
                </a:solidFill>
                <a:latin typeface="Aptos Narrow"/>
              </a:rPr>
              <a:t>Charging_Cost</a:t>
            </a:r>
            <a:endParaRPr lang="en-IN" sz="1400" b="1">
              <a:ln>
                <a:noFill/>
              </a:ln>
            </a:endParaRPr>
          </a:p>
        </xdr:txBody>
      </xdr:sp>
      <xdr:sp macro="" textlink="">
        <xdr:nvSpPr>
          <xdr:cNvPr id="30" name="Rectangle: Rounded Corners 29">
            <a:extLst>
              <a:ext uri="{FF2B5EF4-FFF2-40B4-BE49-F238E27FC236}">
                <a16:creationId xmlns:a16="http://schemas.microsoft.com/office/drawing/2014/main" id="{A46C62A6-C87C-EF31-F7AE-B3CF7DCBA13E}"/>
              </a:ext>
            </a:extLst>
          </xdr:cNvPr>
          <xdr:cNvSpPr/>
        </xdr:nvSpPr>
        <xdr:spPr>
          <a:xfrm>
            <a:off x="76200" y="53340"/>
            <a:ext cx="3459480" cy="10896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marR="0" lvl="0" indent="0" algn="ctr" defTabSz="914400" eaLnBrk="1" fontAlgn="auto" latinLnBrk="0" hangingPunct="1">
              <a:lnSpc>
                <a:spcPct val="100000"/>
              </a:lnSpc>
              <a:spcBef>
                <a:spcPts val="0"/>
              </a:spcBef>
              <a:spcAft>
                <a:spcPts val="0"/>
              </a:spcAft>
              <a:buClrTx/>
              <a:buSzTx/>
              <a:buFontTx/>
              <a:buNone/>
              <a:tabLst/>
              <a:defRPr/>
            </a:pPr>
            <a:endParaRPr lang="en-IN" sz="1600" b="1">
              <a:solidFill>
                <a:schemeClr val="tx1"/>
              </a:solidFill>
              <a:effectLst/>
              <a:latin typeface="+mn-lt"/>
              <a:ea typeface="+mn-ea"/>
              <a:cs typeface="+mn-cs"/>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tx1"/>
                </a:solidFill>
                <a:effectLst/>
                <a:latin typeface="Segoe UI Black" panose="020B0A02040204020203" pitchFamily="34" charset="0"/>
                <a:ea typeface="Segoe UI Black" panose="020B0A02040204020203" pitchFamily="34" charset="0"/>
                <a:cs typeface="+mn-cs"/>
              </a:rPr>
              <a:t>Electric Vehicle Analytics Dashboard</a:t>
            </a:r>
          </a:p>
          <a:p>
            <a:pPr algn="l"/>
            <a:endParaRPr lang="en-IN" sz="1600" b="1"/>
          </a:p>
        </xdr:txBody>
      </xdr:sp>
    </xdr:grpSp>
    <xdr:clientData/>
  </xdr:twoCellAnchor>
  <xdr:twoCellAnchor editAs="oneCell">
    <xdr:from>
      <xdr:col>0</xdr:col>
      <xdr:colOff>152400</xdr:colOff>
      <xdr:row>7</xdr:row>
      <xdr:rowOff>121920</xdr:rowOff>
    </xdr:from>
    <xdr:to>
      <xdr:col>2</xdr:col>
      <xdr:colOff>121200</xdr:colOff>
      <xdr:row>26</xdr:row>
      <xdr:rowOff>121920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8BFF8F19-5B76-224C-2EAB-A1EA071BABE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2400" y="1402080"/>
              <a:ext cx="1188000" cy="3474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281940</xdr:colOff>
      <xdr:row>0</xdr:row>
      <xdr:rowOff>114300</xdr:rowOff>
    </xdr:from>
    <xdr:to>
      <xdr:col>8</xdr:col>
      <xdr:colOff>83820</xdr:colOff>
      <xdr:row>2</xdr:row>
      <xdr:rowOff>60960</xdr:rowOff>
    </xdr:to>
    <xdr:pic>
      <xdr:nvPicPr>
        <xdr:cNvPr id="5" name="Graphic 4" descr="Car with solid fill">
          <a:extLst>
            <a:ext uri="{FF2B5EF4-FFF2-40B4-BE49-F238E27FC236}">
              <a16:creationId xmlns:a16="http://schemas.microsoft.com/office/drawing/2014/main" id="{1F368C46-827A-3AD6-9049-77C165550A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549140" y="114300"/>
          <a:ext cx="411480" cy="312420"/>
        </a:xfrm>
        <a:prstGeom prst="rect">
          <a:avLst/>
        </a:prstGeom>
      </xdr:spPr>
    </xdr:pic>
    <xdr:clientData/>
  </xdr:twoCellAnchor>
  <xdr:twoCellAnchor editAs="oneCell">
    <xdr:from>
      <xdr:col>14</xdr:col>
      <xdr:colOff>594360</xdr:colOff>
      <xdr:row>0</xdr:row>
      <xdr:rowOff>106680</xdr:rowOff>
    </xdr:from>
    <xdr:to>
      <xdr:col>15</xdr:col>
      <xdr:colOff>350520</xdr:colOff>
      <xdr:row>2</xdr:row>
      <xdr:rowOff>38100</xdr:rowOff>
    </xdr:to>
    <xdr:pic>
      <xdr:nvPicPr>
        <xdr:cNvPr id="16" name="Graphic 15" descr="Full battery with solid fill">
          <a:extLst>
            <a:ext uri="{FF2B5EF4-FFF2-40B4-BE49-F238E27FC236}">
              <a16:creationId xmlns:a16="http://schemas.microsoft.com/office/drawing/2014/main" id="{B77AFA93-9F8B-DA5B-F84D-F2165436935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128760" y="106680"/>
          <a:ext cx="365760" cy="297180"/>
        </a:xfrm>
        <a:prstGeom prst="rect">
          <a:avLst/>
        </a:prstGeom>
      </xdr:spPr>
    </xdr:pic>
    <xdr:clientData/>
  </xdr:twoCellAnchor>
  <xdr:twoCellAnchor editAs="oneCell">
    <xdr:from>
      <xdr:col>12</xdr:col>
      <xdr:colOff>304800</xdr:colOff>
      <xdr:row>0</xdr:row>
      <xdr:rowOff>68580</xdr:rowOff>
    </xdr:from>
    <xdr:to>
      <xdr:col>13</xdr:col>
      <xdr:colOff>38100</xdr:colOff>
      <xdr:row>2</xdr:row>
      <xdr:rowOff>45720</xdr:rowOff>
    </xdr:to>
    <xdr:pic>
      <xdr:nvPicPr>
        <xdr:cNvPr id="25" name="Graphic 24" descr="Slippery Road with solid fill">
          <a:extLst>
            <a:ext uri="{FF2B5EF4-FFF2-40B4-BE49-F238E27FC236}">
              <a16:creationId xmlns:a16="http://schemas.microsoft.com/office/drawing/2014/main" id="{DD1F6ED7-5DA8-6BAE-04BB-0273D687EE4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620000" y="68580"/>
          <a:ext cx="342900" cy="342900"/>
        </a:xfrm>
        <a:prstGeom prst="rect">
          <a:avLst/>
        </a:prstGeom>
      </xdr:spPr>
    </xdr:pic>
    <xdr:clientData/>
  </xdr:twoCellAnchor>
  <xdr:twoCellAnchor editAs="oneCell">
    <xdr:from>
      <xdr:col>17</xdr:col>
      <xdr:colOff>312420</xdr:colOff>
      <xdr:row>0</xdr:row>
      <xdr:rowOff>83820</xdr:rowOff>
    </xdr:from>
    <xdr:to>
      <xdr:col>18</xdr:col>
      <xdr:colOff>45720</xdr:colOff>
      <xdr:row>2</xdr:row>
      <xdr:rowOff>45720</xdr:rowOff>
    </xdr:to>
    <xdr:pic>
      <xdr:nvPicPr>
        <xdr:cNvPr id="33" name="Graphic 32" descr="Plugged Unplugged with solid fill">
          <a:extLst>
            <a:ext uri="{FF2B5EF4-FFF2-40B4-BE49-F238E27FC236}">
              <a16:creationId xmlns:a16="http://schemas.microsoft.com/office/drawing/2014/main" id="{253C4111-33AC-3118-8847-0E2EC386ACBE}"/>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675620" y="83820"/>
          <a:ext cx="381000" cy="327660"/>
        </a:xfrm>
        <a:prstGeom prst="rect">
          <a:avLst/>
        </a:prstGeom>
      </xdr:spPr>
    </xdr:pic>
    <xdr:clientData/>
  </xdr:twoCellAnchor>
  <xdr:twoCellAnchor editAs="oneCell">
    <xdr:from>
      <xdr:col>10</xdr:col>
      <xdr:colOff>60960</xdr:colOff>
      <xdr:row>0</xdr:row>
      <xdr:rowOff>83820</xdr:rowOff>
    </xdr:from>
    <xdr:to>
      <xdr:col>10</xdr:col>
      <xdr:colOff>403860</xdr:colOff>
      <xdr:row>2</xdr:row>
      <xdr:rowOff>7620</xdr:rowOff>
    </xdr:to>
    <xdr:pic>
      <xdr:nvPicPr>
        <xdr:cNvPr id="37" name="Graphic 36" descr="Money with solid fill">
          <a:extLst>
            <a:ext uri="{FF2B5EF4-FFF2-40B4-BE49-F238E27FC236}">
              <a16:creationId xmlns:a16="http://schemas.microsoft.com/office/drawing/2014/main" id="{D4DFEF53-A679-F7E1-11DC-055358B4CB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6156960" y="83820"/>
          <a:ext cx="342900" cy="289560"/>
        </a:xfrm>
        <a:prstGeom prst="rect">
          <a:avLst/>
        </a:prstGeom>
      </xdr:spPr>
    </xdr:pic>
    <xdr:clientData/>
  </xdr:twoCellAnchor>
  <xdr:twoCellAnchor editAs="oneCell">
    <xdr:from>
      <xdr:col>1</xdr:col>
      <xdr:colOff>53340</xdr:colOff>
      <xdr:row>0</xdr:row>
      <xdr:rowOff>0</xdr:rowOff>
    </xdr:from>
    <xdr:to>
      <xdr:col>4</xdr:col>
      <xdr:colOff>419100</xdr:colOff>
      <xdr:row>3</xdr:row>
      <xdr:rowOff>167640</xdr:rowOff>
    </xdr:to>
    <xdr:pic>
      <xdr:nvPicPr>
        <xdr:cNvPr id="13" name="Graphic 12" descr="Electric car with solid fill">
          <a:extLst>
            <a:ext uri="{FF2B5EF4-FFF2-40B4-BE49-F238E27FC236}">
              <a16:creationId xmlns:a16="http://schemas.microsoft.com/office/drawing/2014/main" id="{0F88DBC6-6253-EFDA-01FB-284EEBDE9CE4}"/>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62940" y="0"/>
          <a:ext cx="2194560" cy="716280"/>
        </a:xfrm>
        <a:prstGeom prst="rect">
          <a:avLst/>
        </a:prstGeom>
      </xdr:spPr>
    </xdr:pic>
    <xdr:clientData/>
  </xdr:twoCellAnchor>
  <xdr:twoCellAnchor>
    <xdr:from>
      <xdr:col>18</xdr:col>
      <xdr:colOff>99060</xdr:colOff>
      <xdr:row>3</xdr:row>
      <xdr:rowOff>45720</xdr:rowOff>
    </xdr:from>
    <xdr:to>
      <xdr:col>18</xdr:col>
      <xdr:colOff>99060</xdr:colOff>
      <xdr:row>3</xdr:row>
      <xdr:rowOff>45720</xdr:rowOff>
    </xdr:to>
    <xdr:cxnSp macro="">
      <xdr:nvCxnSpPr>
        <xdr:cNvPr id="31" name="Straight Connector 30">
          <a:extLst>
            <a:ext uri="{FF2B5EF4-FFF2-40B4-BE49-F238E27FC236}">
              <a16:creationId xmlns:a16="http://schemas.microsoft.com/office/drawing/2014/main" id="{64010548-4287-A23C-DB95-B3F62924F78E}"/>
            </a:ext>
          </a:extLst>
        </xdr:cNvPr>
        <xdr:cNvCxnSpPr>
          <a:cxnSpLocks/>
          <a:stCxn id="10" idx="3"/>
        </xdr:cNvCxnSpPr>
      </xdr:nvCxnSpPr>
      <xdr:spPr>
        <a:xfrm>
          <a:off x="11109960" y="594360"/>
          <a:ext cx="0"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502920</xdr:colOff>
      <xdr:row>25</xdr:row>
      <xdr:rowOff>121920</xdr:rowOff>
    </xdr:from>
    <xdr:to>
      <xdr:col>6</xdr:col>
      <xdr:colOff>259080</xdr:colOff>
      <xdr:row>27</xdr:row>
      <xdr:rowOff>53340</xdr:rowOff>
    </xdr:to>
    <xdr:sp macro="" textlink="">
      <xdr:nvSpPr>
        <xdr:cNvPr id="35" name="TextBox 34">
          <a:extLst>
            <a:ext uri="{FF2B5EF4-FFF2-40B4-BE49-F238E27FC236}">
              <a16:creationId xmlns:a16="http://schemas.microsoft.com/office/drawing/2014/main" id="{190AB780-0F16-8BE9-2625-46F0414FD4B4}"/>
            </a:ext>
          </a:extLst>
        </xdr:cNvPr>
        <xdr:cNvSpPr txBox="1"/>
      </xdr:nvSpPr>
      <xdr:spPr>
        <a:xfrm>
          <a:off x="2331720" y="4693920"/>
          <a:ext cx="158496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Uses by Distribution</a:t>
          </a:r>
        </a:p>
      </xdr:txBody>
    </xdr:sp>
    <xdr:clientData/>
  </xdr:twoCellAnchor>
  <xdr:twoCellAnchor>
    <xdr:from>
      <xdr:col>13</xdr:col>
      <xdr:colOff>403860</xdr:colOff>
      <xdr:row>25</xdr:row>
      <xdr:rowOff>129540</xdr:rowOff>
    </xdr:from>
    <xdr:to>
      <xdr:col>16</xdr:col>
      <xdr:colOff>358140</xdr:colOff>
      <xdr:row>27</xdr:row>
      <xdr:rowOff>60960</xdr:rowOff>
    </xdr:to>
    <xdr:sp macro="" textlink="">
      <xdr:nvSpPr>
        <xdr:cNvPr id="6" name="TextBox 5">
          <a:extLst>
            <a:ext uri="{FF2B5EF4-FFF2-40B4-BE49-F238E27FC236}">
              <a16:creationId xmlns:a16="http://schemas.microsoft.com/office/drawing/2014/main" id="{1E1CCC89-5B19-4C2B-BC2F-5FD8C3F39D4A}"/>
            </a:ext>
          </a:extLst>
        </xdr:cNvPr>
        <xdr:cNvSpPr txBox="1"/>
      </xdr:nvSpPr>
      <xdr:spPr>
        <a:xfrm>
          <a:off x="8328660" y="4701540"/>
          <a:ext cx="178308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Vehicle Type Distribution</a:t>
          </a:r>
        </a:p>
      </xdr:txBody>
    </xdr:sp>
    <xdr:clientData/>
  </xdr:twoCellAnchor>
  <xdr:twoCellAnchor>
    <xdr:from>
      <xdr:col>13</xdr:col>
      <xdr:colOff>320040</xdr:colOff>
      <xdr:row>15</xdr:row>
      <xdr:rowOff>53340</xdr:rowOff>
    </xdr:from>
    <xdr:to>
      <xdr:col>17</xdr:col>
      <xdr:colOff>76200</xdr:colOff>
      <xdr:row>16</xdr:row>
      <xdr:rowOff>129540</xdr:rowOff>
    </xdr:to>
    <xdr:sp macro="" textlink="">
      <xdr:nvSpPr>
        <xdr:cNvPr id="14" name="TextBox 13">
          <a:extLst>
            <a:ext uri="{FF2B5EF4-FFF2-40B4-BE49-F238E27FC236}">
              <a16:creationId xmlns:a16="http://schemas.microsoft.com/office/drawing/2014/main" id="{94C198A1-0C32-4660-9035-25FCCDF03D19}"/>
            </a:ext>
          </a:extLst>
        </xdr:cNvPr>
        <xdr:cNvSpPr txBox="1"/>
      </xdr:nvSpPr>
      <xdr:spPr>
        <a:xfrm>
          <a:off x="8244840" y="2796540"/>
          <a:ext cx="219456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b="1">
              <a:solidFill>
                <a:schemeClr val="dk1"/>
              </a:solidFill>
              <a:effectLst/>
              <a:latin typeface="+mn-lt"/>
              <a:ea typeface="+mn-ea"/>
              <a:cs typeface="+mn-cs"/>
            </a:rPr>
            <a:t>Type wise Avg_Battery_Capacity</a:t>
          </a:r>
          <a:endParaRPr lang="en-IN" sz="1200">
            <a:effectLst/>
          </a:endParaRPr>
        </a:p>
        <a:p>
          <a:pPr algn="ctr"/>
          <a:endParaRPr lang="en-IN" sz="1200" b="1"/>
        </a:p>
      </xdr:txBody>
    </xdr:sp>
    <xdr:clientData/>
  </xdr:twoCellAnchor>
  <xdr:twoCellAnchor>
    <xdr:from>
      <xdr:col>3</xdr:col>
      <xdr:colOff>198120</xdr:colOff>
      <xdr:row>15</xdr:row>
      <xdr:rowOff>76200</xdr:rowOff>
    </xdr:from>
    <xdr:to>
      <xdr:col>6</xdr:col>
      <xdr:colOff>99060</xdr:colOff>
      <xdr:row>16</xdr:row>
      <xdr:rowOff>144780</xdr:rowOff>
    </xdr:to>
    <xdr:sp macro="" textlink="">
      <xdr:nvSpPr>
        <xdr:cNvPr id="24" name="TextBox 23">
          <a:extLst>
            <a:ext uri="{FF2B5EF4-FFF2-40B4-BE49-F238E27FC236}">
              <a16:creationId xmlns:a16="http://schemas.microsoft.com/office/drawing/2014/main" id="{C791EFC9-529A-47B9-BA75-88234E3A7226}"/>
            </a:ext>
          </a:extLst>
        </xdr:cNvPr>
        <xdr:cNvSpPr txBox="1"/>
      </xdr:nvSpPr>
      <xdr:spPr>
        <a:xfrm>
          <a:off x="2026920" y="2819400"/>
          <a:ext cx="1729740" cy="2514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Region wise Vehicle</a:t>
          </a:r>
        </a:p>
      </xdr:txBody>
    </xdr:sp>
    <xdr:clientData/>
  </xdr:twoCellAnchor>
  <xdr:twoCellAnchor>
    <xdr:from>
      <xdr:col>8</xdr:col>
      <xdr:colOff>220980</xdr:colOff>
      <xdr:row>26</xdr:row>
      <xdr:rowOff>53340</xdr:rowOff>
    </xdr:from>
    <xdr:to>
      <xdr:col>11</xdr:col>
      <xdr:colOff>175260</xdr:colOff>
      <xdr:row>27</xdr:row>
      <xdr:rowOff>53340</xdr:rowOff>
    </xdr:to>
    <xdr:sp macro="" textlink="">
      <xdr:nvSpPr>
        <xdr:cNvPr id="28" name="TextBox 27">
          <a:extLst>
            <a:ext uri="{FF2B5EF4-FFF2-40B4-BE49-F238E27FC236}">
              <a16:creationId xmlns:a16="http://schemas.microsoft.com/office/drawing/2014/main" id="{139A38BB-44C6-4EE6-89D7-72336137E979}"/>
            </a:ext>
          </a:extLst>
        </xdr:cNvPr>
        <xdr:cNvSpPr txBox="1"/>
      </xdr:nvSpPr>
      <xdr:spPr>
        <a:xfrm>
          <a:off x="5097780" y="4808220"/>
          <a:ext cx="1783080" cy="1828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Make</a:t>
          </a:r>
          <a:r>
            <a:rPr lang="en-IN" sz="1200" b="1" baseline="0"/>
            <a:t> wise</a:t>
          </a:r>
          <a:r>
            <a:rPr lang="en-IN" sz="1200" b="1"/>
            <a:t> Distribution</a:t>
          </a:r>
        </a:p>
      </xdr:txBody>
    </xdr:sp>
    <xdr:clientData/>
  </xdr:twoCellAnchor>
  <xdr:twoCellAnchor>
    <xdr:from>
      <xdr:col>7</xdr:col>
      <xdr:colOff>525780</xdr:colOff>
      <xdr:row>15</xdr:row>
      <xdr:rowOff>45720</xdr:rowOff>
    </xdr:from>
    <xdr:to>
      <xdr:col>11</xdr:col>
      <xdr:colOff>304800</xdr:colOff>
      <xdr:row>16</xdr:row>
      <xdr:rowOff>144780</xdr:rowOff>
    </xdr:to>
    <xdr:sp macro="" textlink="">
      <xdr:nvSpPr>
        <xdr:cNvPr id="4" name="TextBox 3">
          <a:extLst>
            <a:ext uri="{FF2B5EF4-FFF2-40B4-BE49-F238E27FC236}">
              <a16:creationId xmlns:a16="http://schemas.microsoft.com/office/drawing/2014/main" id="{6DC7957B-422F-4473-9F87-D2433C06E281}"/>
            </a:ext>
          </a:extLst>
        </xdr:cNvPr>
        <xdr:cNvSpPr txBox="1"/>
      </xdr:nvSpPr>
      <xdr:spPr>
        <a:xfrm>
          <a:off x="4792980" y="2788920"/>
          <a:ext cx="2217420" cy="2819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Avg_Maintenance_Cost by Make</a:t>
          </a:r>
        </a:p>
      </xdr:txBody>
    </xdr:sp>
    <xdr:clientData/>
  </xdr:twoCellAnchor>
  <xdr:twoCellAnchor>
    <xdr:from>
      <xdr:col>12</xdr:col>
      <xdr:colOff>487680</xdr:colOff>
      <xdr:row>6</xdr:row>
      <xdr:rowOff>152400</xdr:rowOff>
    </xdr:from>
    <xdr:to>
      <xdr:col>17</xdr:col>
      <xdr:colOff>548640</xdr:colOff>
      <xdr:row>15</xdr:row>
      <xdr:rowOff>114300</xdr:rowOff>
    </xdr:to>
    <xdr:graphicFrame macro="">
      <xdr:nvGraphicFramePr>
        <xdr:cNvPr id="34" name="Chart 33">
          <a:extLst>
            <a:ext uri="{FF2B5EF4-FFF2-40B4-BE49-F238E27FC236}">
              <a16:creationId xmlns:a16="http://schemas.microsoft.com/office/drawing/2014/main" id="{AF2983D9-93D4-4AFF-9B84-3813EF3CA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6296299" backgroundQuery="1" createdVersion="8" refreshedVersion="8" minRefreshableVersion="3" recordCount="0" supportSubquery="1" supportAdvancedDrill="1" xr:uid="{EB7A12A9-9477-46B9-9EBF-B5081CC0B17C}">
  <cacheSource type="external" connectionId="2"/>
  <cacheFields count="3">
    <cacheField name="[Electric_vehicle].[Vehicle_Type].[Vehicle_Type]" caption="Vehicle_Type" numFmtId="0" hierarchy="5" level="1">
      <sharedItems count="4">
        <s v="Hatchback"/>
        <s v="Sedan"/>
        <s v="SUV"/>
        <s v="Truck"/>
      </sharedItems>
    </cacheField>
    <cacheField name="[Measures].[Count of Vehicle_ID]" caption="Count of Vehicle_ID" numFmtId="0" hierarchy="38"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2"/>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2" memberValueDatatype="130" unbalanced="0">
      <fieldsUsage count="2">
        <fieldUsage x="-1"/>
        <fieldUsage x="0"/>
      </fieldsUsage>
    </cacheHierarchy>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6643515" backgroundQuery="1" createdVersion="8" refreshedVersion="8" minRefreshableVersion="3" recordCount="0" supportSubquery="1" supportAdvancedDrill="1" xr:uid="{117593FE-32CF-4B42-9C25-E622763AEC58}">
  <cacheSource type="external" connectionId="2"/>
  <cacheFields count="2">
    <cacheField name="[Measures].[Total_Vehicle]" caption="Total_Vehicle" numFmtId="0" hierarchy="26"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1"/>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oneField="1">
      <fieldsUsage count="1">
        <fieldUsage x="0"/>
      </fieldsUsage>
    </cacheHierarchy>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6875" backgroundQuery="1" createdVersion="8" refreshedVersion="8" minRefreshableVersion="3" recordCount="0" supportSubquery="1" supportAdvancedDrill="1" xr:uid="{6D977DAD-5855-41CC-9B94-22E6F3AF6AD6}">
  <cacheSource type="external" connectionId="2"/>
  <cacheFields count="3">
    <cacheField name="[Electric_vehicle].[Make].[Make]" caption="Make" numFmtId="0" hierarchy="1" level="1">
      <sharedItems count="10">
        <s v="Audi"/>
        <s v="BMW"/>
        <s v="Chevrolet"/>
        <s v="Ford"/>
        <s v="Hyundai"/>
        <s v="Kia"/>
        <s v="Mercedes"/>
        <s v="Nissan"/>
        <s v="Tesla"/>
        <s v="Volkswagen"/>
      </sharedItems>
    </cacheField>
    <cacheField name="[Measures].[Count of Vehicle_ID]" caption="Count of Vehicle_ID" numFmtId="0" hierarchy="38"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2" memberValueDatatype="130" unbalanced="0">
      <fieldsUsage count="2">
        <fieldUsage x="-1"/>
        <fieldUsage x="0"/>
      </fieldsUsage>
    </cacheHierarchy>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2"/>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7106484" backgroundQuery="1" createdVersion="8" refreshedVersion="8" minRefreshableVersion="3" recordCount="0" supportSubquery="1" supportAdvancedDrill="1" xr:uid="{8E1D9AA2-1404-406F-9B3B-84F633304DD7}">
  <cacheSource type="external" connectionId="2"/>
  <cacheFields count="2">
    <cacheField name="[Measures].[Insurence_Cost]" caption="Insurence_Cost" numFmtId="0" hierarchy="25"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1"/>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oneField="1">
      <fieldsUsage count="1">
        <fieldUsage x="0"/>
      </fieldsUsage>
    </cacheHierarchy>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7222223" backgroundQuery="1" createdVersion="8" refreshedVersion="8" minRefreshableVersion="3" recordCount="0" supportSubquery="1" supportAdvancedDrill="1" xr:uid="{57F355C9-1696-4D2D-8D34-150C3712027C}">
  <cacheSource type="external" connectionId="2"/>
  <cacheFields count="2">
    <cacheField name="[Measures].[Avg_Range_KM]" caption="Avg_Range_KM" numFmtId="0" hierarchy="27"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1"/>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oneField="1">
      <fieldsUsage count="1">
        <fieldUsage x="0"/>
      </fieldsUsage>
    </cacheHierarchy>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7337962" backgroundQuery="1" createdVersion="8" refreshedVersion="8" minRefreshableVersion="3" recordCount="0" supportSubquery="1" supportAdvancedDrill="1" xr:uid="{75BC2DA0-55B0-460A-BF51-7641C652D4A2}">
  <cacheSource type="external" connectionId="2"/>
  <cacheFields count="2">
    <cacheField name="[Measures].[Battery_Health]" caption="Battery_Health" numFmtId="0" hierarchy="28"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1"/>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oneField="1">
      <fieldsUsage count="1">
        <fieldUsage x="0"/>
      </fieldsUsage>
    </cacheHierarchy>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74537" backgroundQuery="1" createdVersion="8" refreshedVersion="8" minRefreshableVersion="3" recordCount="0" supportSubquery="1" supportAdvancedDrill="1" xr:uid="{C4968884-A6E7-4A2E-9BA1-09921E94A998}">
  <cacheSource type="external" connectionId="2"/>
  <cacheFields count="2">
    <cacheField name="[Measures].[Charging_Cost]" caption="Charging_Cost" numFmtId="0" hierarchy="29"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1"/>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oneField="1">
      <fieldsUsage count="1">
        <fieldUsage x="0"/>
      </fieldsUsage>
    </cacheHierarchy>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7800923" backgroundQuery="1" createdVersion="8" refreshedVersion="8" minRefreshableVersion="3" recordCount="0" supportSubquery="1" supportAdvancedDrill="1" xr:uid="{5C55ED93-6684-48FA-84EA-943FDAD3274A}">
  <cacheSource type="external" connectionId="2"/>
  <cacheFields count="3">
    <cacheField name="[Electric_vehicle].[Region].[Region]" caption="Region" numFmtId="0" hierarchy="4" level="1">
      <sharedItems count="4">
        <s v="Asia"/>
        <s v="Australia"/>
        <s v="Europe"/>
        <s v="North America"/>
      </sharedItems>
    </cacheField>
    <cacheField name="[Measures].[Count of Vehicle_ID]" caption="Count of Vehicle_ID" numFmtId="0" hierarchy="38"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2"/>
      </fieldsUsage>
    </cacheHierarchy>
    <cacheHierarchy uniqueName="[Electric_vehicle].[Region]" caption="Region" attribute="1" defaultMemberUniqueName="[Electric_vehicle].[Region].[All]" allUniqueName="[Electric_vehicle].[Region].[All]" dimensionUniqueName="[Electric_vehicle]" displayFolder="" count="2" memberValueDatatype="130" unbalanced="0">
      <fieldsUsage count="2">
        <fieldUsage x="-1"/>
        <fieldUsage x="0"/>
      </fieldsUsage>
    </cacheHierarchy>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8263885" backgroundQuery="1" createdVersion="8" refreshedVersion="8" minRefreshableVersion="3" recordCount="0" supportSubquery="1" supportAdvancedDrill="1" xr:uid="{B3491D9E-0960-4A94-BE82-FE392448CBB2}">
  <cacheSource type="external" connectionId="2"/>
  <cacheFields count="3">
    <cacheField name="[Electric_vehicle].[Make].[Make]" caption="Make" numFmtId="0" hierarchy="1" level="1">
      <sharedItems count="10">
        <s v="Audi"/>
        <s v="BMW"/>
        <s v="Chevrolet"/>
        <s v="Ford"/>
        <s v="Hyundai"/>
        <s v="Kia"/>
        <s v="Mercedes"/>
        <s v="Nissan"/>
        <s v="Tesla"/>
        <s v="Volkswagen"/>
      </sharedItems>
    </cacheField>
    <cacheField name="[Measures].[Average of Maintenance_Cost_USD]" caption="Average of Maintenance_Cost_USD" numFmtId="0" hierarchy="53"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2" memberValueDatatype="130" unbalanced="0">
      <fieldsUsage count="2">
        <fieldUsage x="-1"/>
        <fieldUsage x="0"/>
      </fieldsUsage>
    </cacheHierarchy>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2"/>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8842593" backgroundQuery="1" createdVersion="8" refreshedVersion="8" minRefreshableVersion="3" recordCount="0" supportSubquery="1" supportAdvancedDrill="1" xr:uid="{208CDF35-B6EE-448C-86B6-F88CF018E543}">
  <cacheSource type="external" connectionId="2"/>
  <cacheFields count="3">
    <cacheField name="[Electric_vehicle].[Usage_Type].[Usage_Type]" caption="Usage_Type" numFmtId="0" hierarchy="18" level="1">
      <sharedItems count="3">
        <s v="Commercial"/>
        <s v="Fleet"/>
        <s v="Personal"/>
      </sharedItems>
    </cacheField>
    <cacheField name="[Measures].[Count of Vehicle_ID]" caption="Count of Vehicle_ID" numFmtId="0" hierarchy="38"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2"/>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2" memberValueDatatype="130" unbalanced="0">
      <fieldsUsage count="2">
        <fieldUsage x="-1"/>
        <fieldUsage x="0"/>
      </fieldsUsage>
    </cacheHierarchy>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hidden="1">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21.452699421294" backgroundQuery="1" createdVersion="8" refreshedVersion="8" minRefreshableVersion="3" recordCount="0" supportSubquery="1" supportAdvancedDrill="1" xr:uid="{D2880345-6DD9-4A41-8F5E-FE31A374BF52}">
  <cacheSource type="external" connectionId="2"/>
  <cacheFields count="3">
    <cacheField name="[Electric_vehicle].[Vehicle_Type].[Vehicle_Type]" caption="Vehicle_Type" numFmtId="0" hierarchy="5" level="1">
      <sharedItems count="4">
        <s v="Hatchback"/>
        <s v="Sedan"/>
        <s v="SUV"/>
        <s v="Truck"/>
      </sharedItems>
    </cacheField>
    <cacheField name="[Measures].[Average of Battery_Capacity_kWh]" caption="Average of Battery_Capacity_kWh" numFmtId="0" hierarchy="58" level="32767"/>
    <cacheField name="[Electric_vehicle].[Year].[Year]" caption="Year" numFmtId="0" hierarchy="3" level="1">
      <sharedItems containsSemiMixedTypes="0" containsNonDate="0" containsString="0"/>
    </cacheField>
  </cacheFields>
  <cacheHierarchies count="59">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0"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fieldsUsage count="2">
        <fieldUsage x="-1"/>
        <fieldUsage x="2"/>
      </fieldsUsage>
    </cacheHierarchy>
    <cacheHierarchy uniqueName="[Electric_vehicle].[Region]" caption="Region" attribute="1" defaultMemberUniqueName="[Electric_vehicle].[Region].[All]" allUniqueName="[Electric_vehicle].[Region].[All]" dimensionUniqueName="[Electric_vehicle]" displayFolder="" count="0" memberValueDatatype="130" unbalanced="0"/>
    <cacheHierarchy uniqueName="[Electric_vehicle].[Vehicle_Type]" caption="Vehicle_Type" attribute="1" defaultMemberUniqueName="[Electric_vehicle].[Vehicle_Type].[All]" allUniqueName="[Electric_vehicle].[Vehicle_Type].[All]" dimensionUniqueName="[Electric_vehicle]" displayFolder="" count="2" memberValueDatatype="130" unbalanced="0">
      <fieldsUsage count="2">
        <fieldUsage x="-1"/>
        <fieldUsage x="0"/>
      </fieldsUsage>
    </cacheHierarchy>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Average of Maintenance_Cost_USD]" caption="Average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Count of Year]" caption="Count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Electricity_Cost_USD_per_kWh]" caption="Sum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Electricity_Cost_USD_per_kWh]" caption="Count of Electricity_Cost_USD_per_kWh" measure="1" displayFolder="" measureGroup="Electric_vehicle" count="0" hidden="1">
      <extLst>
        <ext xmlns:x15="http://schemas.microsoft.com/office/spreadsheetml/2010/11/main" uri="{B97F6D7D-B522-45F9-BDA1-12C45D357490}">
          <x15:cacheHierarchy aggregatedColumn="22"/>
        </ext>
      </extLst>
    </cacheHierarchy>
    <cacheHierarchy uniqueName="[Measures].[Count of Make]" caption="Count of Make" measure="1" displayFolder="" measureGroup="Electric_vehicle" count="0" hidden="1">
      <extLst>
        <ext xmlns:x15="http://schemas.microsoft.com/office/spreadsheetml/2010/11/main" uri="{B97F6D7D-B522-45F9-BDA1-12C45D357490}">
          <x15:cacheHierarchy aggregatedColumn="1"/>
        </ext>
      </extLst>
    </cacheHierarchy>
    <cacheHierarchy uniqueName="[Measures].[Average of Battery_Capacity_kWh]" caption="Average of Battery_Capacity_kWh" measure="1" displayFolder="" measureGroup="Electric_vehicle" count="0" oneField="1" hidden="1">
      <fieldsUsage count="1">
        <fieldUsage x="1"/>
      </fieldsUsage>
      <extLst>
        <ext xmlns:x15="http://schemas.microsoft.com/office/spreadsheetml/2010/11/main" uri="{B97F6D7D-B522-45F9-BDA1-12C45D357490}">
          <x15:cacheHierarchy aggregatedColumn="6"/>
        </ext>
      </extLst>
    </cacheHierarchy>
  </cacheHierarchies>
  <kpis count="0"/>
  <dimensions count="2">
    <dimension name="Electric_vehicle" uniqueName="[Electric_vehicle]" caption="Electric_vehicle"/>
    <dimension measure="1" name="Measures" uniqueName="[Measures]" caption="Measures"/>
  </dimensions>
  <measureGroups count="1">
    <measureGroup name="Electric_vehicle" caption="Electric_vehic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HUL KUMAR" refreshedDate="46216.685430092592" backgroundQuery="1" createdVersion="3" refreshedVersion="8" minRefreshableVersion="3" recordCount="0" supportSubquery="1" supportAdvancedDrill="1" xr:uid="{318062A4-0314-4EB0-8AA7-F8FC7567E60B}">
  <cacheSource type="external" connectionId="2">
    <extLst>
      <ext xmlns:x14="http://schemas.microsoft.com/office/spreadsheetml/2009/9/main" uri="{F057638F-6D5F-4e77-A914-E7F072B9BCA8}">
        <x14:sourceConnection name="ThisWorkbookDataModel"/>
      </ext>
    </extLst>
  </cacheSource>
  <cacheFields count="0"/>
  <cacheHierarchies count="53">
    <cacheHierarchy uniqueName="[Electric_vehicle].[Vehicle_ID]" caption="Vehicle_ID" attribute="1" defaultMemberUniqueName="[Electric_vehicle].[Vehicle_ID].[All]" allUniqueName="[Electric_vehicle].[Vehicle_ID].[All]" dimensionUniqueName="[Electric_vehicle]" displayFolder="" count="0" memberValueDatatype="20" unbalanced="0"/>
    <cacheHierarchy uniqueName="[Electric_vehicle].[Make]" caption="Make" attribute="1" defaultMemberUniqueName="[Electric_vehicle].[Make].[All]" allUniqueName="[Electric_vehicle].[Make].[All]" dimensionUniqueName="[Electric_vehicle]" displayFolder="" count="2" memberValueDatatype="130" unbalanced="0"/>
    <cacheHierarchy uniqueName="[Electric_vehicle].[Model]" caption="Model" attribute="1" defaultMemberUniqueName="[Electric_vehicle].[Model].[All]" allUniqueName="[Electric_vehicle].[Model].[All]" dimensionUniqueName="[Electric_vehicle]" displayFolder="" count="0" memberValueDatatype="130" unbalanced="0"/>
    <cacheHierarchy uniqueName="[Electric_vehicle].[Year]" caption="Year" attribute="1" defaultMemberUniqueName="[Electric_vehicle].[Year].[All]" allUniqueName="[Electric_vehicle].[Year].[All]" dimensionUniqueName="[Electric_vehicle]" displayFolder="" count="2" memberValueDatatype="20" unbalanced="0"/>
    <cacheHierarchy uniqueName="[Electric_vehicle].[Region]" caption="Region" attribute="1" defaultMemberUniqueName="[Electric_vehicle].[Region].[All]" allUniqueName="[Electric_vehicle].[Region].[All]" dimensionUniqueName="[Electric_vehicle]" displayFolder="" count="2" memberValueDatatype="130" unbalanced="0"/>
    <cacheHierarchy uniqueName="[Electric_vehicle].[Vehicle_Type]" caption="Vehicle_Type" attribute="1" defaultMemberUniqueName="[Electric_vehicle].[Vehicle_Type].[All]" allUniqueName="[Electric_vehicle].[Vehicle_Type].[All]" dimensionUniqueName="[Electric_vehicle]" displayFolder="" count="0" memberValueDatatype="130" unbalanced="0"/>
    <cacheHierarchy uniqueName="[Electric_vehicle].[Battery_Capacity_kWh]" caption="Battery_Capacity_kWh" attribute="1" defaultMemberUniqueName="[Electric_vehicle].[Battery_Capacity_kWh].[All]" allUniqueName="[Electric_vehicle].[Battery_Capacity_kWh].[All]" dimensionUniqueName="[Electric_vehicle]" displayFolder="" count="0" memberValueDatatype="5" unbalanced="0"/>
    <cacheHierarchy uniqueName="[Electric_vehicle].[Battery_Health_%]" caption="Battery_Health_%" attribute="1" defaultMemberUniqueName="[Electric_vehicle].[Battery_Health_%].[All]" allUniqueName="[Electric_vehicle].[Battery_Health_%].[All]" dimensionUniqueName="[Electric_vehicle]" displayFolder="" count="0" memberValueDatatype="5" unbalanced="0"/>
    <cacheHierarchy uniqueName="[Electric_vehicle].[Range_km]" caption="Range_km" attribute="1" defaultMemberUniqueName="[Electric_vehicle].[Range_km].[All]" allUniqueName="[Electric_vehicle].[Range_km].[All]" dimensionUniqueName="[Electric_vehicle]" displayFolder="" count="0" memberValueDatatype="20" unbalanced="0"/>
    <cacheHierarchy uniqueName="[Electric_vehicle].[Charging_Power_kW]" caption="Charging_Power_kW" attribute="1" defaultMemberUniqueName="[Electric_vehicle].[Charging_Power_kW].[All]" allUniqueName="[Electric_vehicle].[Charging_Power_kW].[All]" dimensionUniqueName="[Electric_vehicle]" displayFolder="" count="0" memberValueDatatype="5" unbalanced="0"/>
    <cacheHierarchy uniqueName="[Electric_vehicle].[Charging_Time_hr]" caption="Charging_Time_hr" attribute="1" defaultMemberUniqueName="[Electric_vehicle].[Charging_Time_hr].[All]" allUniqueName="[Electric_vehicle].[Charging_Time_hr].[All]" dimensionUniqueName="[Electric_vehicle]" displayFolder="" count="0" memberValueDatatype="5" unbalanced="0"/>
    <cacheHierarchy uniqueName="[Electric_vehicle].[Charge_Cycles]" caption="Charge_Cycles" attribute="1" defaultMemberUniqueName="[Electric_vehicle].[Charge_Cycles].[All]" allUniqueName="[Electric_vehicle].[Charge_Cycles].[All]" dimensionUniqueName="[Electric_vehicle]" displayFolder="" count="0" memberValueDatatype="20" unbalanced="0"/>
    <cacheHierarchy uniqueName="[Electric_vehicle].[Energy_Consumption_kWh_per_100km]" caption="Energy_Consumption_kWh_per_100km" attribute="1" defaultMemberUniqueName="[Electric_vehicle].[Energy_Consumption_kWh_per_100km].[All]" allUniqueName="[Electric_vehicle].[Energy_Consumption_kWh_per_100km].[All]" dimensionUniqueName="[Electric_vehicle]" displayFolder="" count="0" memberValueDatatype="5" unbalanced="0"/>
    <cacheHierarchy uniqueName="[Electric_vehicle].[Mileage_km]" caption="Mileage_km" attribute="1" defaultMemberUniqueName="[Electric_vehicle].[Mileage_km].[All]" allUniqueName="[Electric_vehicle].[Mileage_km].[All]" dimensionUniqueName="[Electric_vehicle]" displayFolder="" count="0" memberValueDatatype="20" unbalanced="0"/>
    <cacheHierarchy uniqueName="[Electric_vehicle].[Avg_Speed_kmh]" caption="Avg_Speed_kmh" attribute="1" defaultMemberUniqueName="[Electric_vehicle].[Avg_Speed_kmh].[All]" allUniqueName="[Electric_vehicle].[Avg_Speed_kmh].[All]" dimensionUniqueName="[Electric_vehicle]" displayFolder="" count="0" memberValueDatatype="5" unbalanced="0"/>
    <cacheHierarchy uniqueName="[Electric_vehicle].[Max_Speed_kmh]" caption="Max_Speed_kmh" attribute="1" defaultMemberUniqueName="[Electric_vehicle].[Max_Speed_kmh].[All]" allUniqueName="[Electric_vehicle].[Max_Speed_kmh].[All]" dimensionUniqueName="[Electric_vehicle]" displayFolder="" count="0" memberValueDatatype="20" unbalanced="0"/>
    <cacheHierarchy uniqueName="[Electric_vehicle].[Acceleration_0_100_kmh_sec]" caption="Acceleration_0_100_kmh_sec" attribute="1" defaultMemberUniqueName="[Electric_vehicle].[Acceleration_0_100_kmh_sec].[All]" allUniqueName="[Electric_vehicle].[Acceleration_0_100_kmh_sec].[All]" dimensionUniqueName="[Electric_vehicle]" displayFolder="" count="0" memberValueDatatype="5" unbalanced="0"/>
    <cacheHierarchy uniqueName="[Electric_vehicle].[Temperature_C]" caption="Temperature_C" attribute="1" defaultMemberUniqueName="[Electric_vehicle].[Temperature_C].[All]" allUniqueName="[Electric_vehicle].[Temperature_C].[All]" dimensionUniqueName="[Electric_vehicle]" displayFolder="" count="0" memberValueDatatype="5" unbalanced="0"/>
    <cacheHierarchy uniqueName="[Electric_vehicle].[Usage_Type]" caption="Usage_Type" attribute="1" defaultMemberUniqueName="[Electric_vehicle].[Usage_Type].[All]" allUniqueName="[Electric_vehicle].[Usage_Type].[All]" dimensionUniqueName="[Electric_vehicle]" displayFolder="" count="0" memberValueDatatype="130" unbalanced="0"/>
    <cacheHierarchy uniqueName="[Electric_vehicle].[CO2_Saved_tons]" caption="CO2_Saved_tons" attribute="1" defaultMemberUniqueName="[Electric_vehicle].[CO2_Saved_tons].[All]" allUniqueName="[Electric_vehicle].[CO2_Saved_tons].[All]" dimensionUniqueName="[Electric_vehicle]" displayFolder="" count="0" memberValueDatatype="5" unbalanced="0"/>
    <cacheHierarchy uniqueName="[Electric_vehicle].[Maintenance_Cost_USD]" caption="Maintenance_Cost_USD" attribute="1" defaultMemberUniqueName="[Electric_vehicle].[Maintenance_Cost_USD].[All]" allUniqueName="[Electric_vehicle].[Maintenance_Cost_USD].[All]" dimensionUniqueName="[Electric_vehicle]" displayFolder="" count="0" memberValueDatatype="20" unbalanced="0"/>
    <cacheHierarchy uniqueName="[Electric_vehicle].[Insurance_Cost_USD]" caption="Insurance_Cost_USD" attribute="1" defaultMemberUniqueName="[Electric_vehicle].[Insurance_Cost_USD].[All]" allUniqueName="[Electric_vehicle].[Insurance_Cost_USD].[All]" dimensionUniqueName="[Electric_vehicle]" displayFolder="" count="0" memberValueDatatype="20" unbalanced="0"/>
    <cacheHierarchy uniqueName="[Electric_vehicle].[Electricity_Cost_USD_per_kWh]" caption="Electricity_Cost_USD_per_kWh" attribute="1" defaultMemberUniqueName="[Electric_vehicle].[Electricity_Cost_USD_per_kWh].[All]" allUniqueName="[Electric_vehicle].[Electricity_Cost_USD_per_kWh].[All]" dimensionUniqueName="[Electric_vehicle]" displayFolder="" count="0" memberValueDatatype="5" unbalanced="0"/>
    <cacheHierarchy uniqueName="[Electric_vehicle].[Monthly_Charging_Cost_USD]" caption="Monthly_Charging_Cost_USD" attribute="1" defaultMemberUniqueName="[Electric_vehicle].[Monthly_Charging_Cost_USD].[All]" allUniqueName="[Electric_vehicle].[Monthly_Charging_Cost_USD].[All]" dimensionUniqueName="[Electric_vehicle]" displayFolder="" count="0" memberValueDatatype="5" unbalanced="0"/>
    <cacheHierarchy uniqueName="[Electric_vehicle].[Resale_Value_USD]" caption="Resale_Value_USD" attribute="1" defaultMemberUniqueName="[Electric_vehicle].[Resale_Value_USD].[All]" allUniqueName="[Electric_vehicle].[Resale_Value_USD].[All]" dimensionUniqueName="[Electric_vehicle]" displayFolder="" count="0" memberValueDatatype="20" unbalanced="0"/>
    <cacheHierarchy uniqueName="[Measures].[Insurence_Cost]" caption="Insurence_Cost" measure="1" displayFolder="" measureGroup="Electric_vehicle" count="0"/>
    <cacheHierarchy uniqueName="[Measures].[Total_Vehicle]" caption="Total_Vehicle" measure="1" displayFolder="" measureGroup="Electric_vehicle" count="0"/>
    <cacheHierarchy uniqueName="[Measures].[Avg_Range_KM]" caption="Avg_Range_KM" measure="1" displayFolder="" measureGroup="Electric_vehicle" count="0"/>
    <cacheHierarchy uniqueName="[Measures].[Battery_Health]" caption="Battery_Health" measure="1" displayFolder="" measureGroup="Electric_vehicle" count="0"/>
    <cacheHierarchy uniqueName="[Measures].[Charging_Cost]" caption="Charging_Cost" measure="1" displayFolder="" measureGroup="Electric_vehicle" count="0"/>
    <cacheHierarchy uniqueName="[Measures].[__XL_Count Electric_vehicle]" caption="__XL_Count Electric_vehicle" measure="1" displayFolder="" measureGroup="Electric_vehicle" count="0" hidden="1"/>
    <cacheHierarchy uniqueName="[Measures].[__No measures defined]" caption="__No measures defined" measure="1" displayFolder="" count="0" hidden="1"/>
    <cacheHierarchy uniqueName="[Measures].[Sum of Resale_Value_USD]" caption="Sum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Vehicle_ID]" caption="Sum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Year]" caption="Sum of Year" measure="1" displayFolder="" measureGroup="Electric_vehicle" count="0" hidden="1">
      <extLst>
        <ext xmlns:x15="http://schemas.microsoft.com/office/spreadsheetml/2010/11/main" uri="{B97F6D7D-B522-45F9-BDA1-12C45D357490}">
          <x15:cacheHierarchy aggregatedColumn="3"/>
        </ext>
      </extLst>
    </cacheHierarchy>
    <cacheHierarchy uniqueName="[Measures].[Sum of Battery_Capacity_kWh]" caption="Sum of Battery_Capacity_kWh" measure="1" displayFolder="" measureGroup="Electric_vehicle" count="0" hidden="1">
      <extLst>
        <ext xmlns:x15="http://schemas.microsoft.com/office/spreadsheetml/2010/11/main" uri="{B97F6D7D-B522-45F9-BDA1-12C45D357490}">
          <x15:cacheHierarchy aggregatedColumn="6"/>
        </ext>
      </extLst>
    </cacheHierarchy>
    <cacheHierarchy uniqueName="[Measures].[Distinct Count of Vehicle_ID]" caption="Distinct 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Max of Vehicle_ID]" caption="Max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Count of Vehicle_ID]" caption="Count of Vehicle_ID" measure="1" displayFolder="" measureGroup="Electric_vehicle" count="0" hidden="1">
      <extLst>
        <ext xmlns:x15="http://schemas.microsoft.com/office/spreadsheetml/2010/11/main" uri="{B97F6D7D-B522-45F9-BDA1-12C45D357490}">
          <x15:cacheHierarchy aggregatedColumn="0"/>
        </ext>
      </extLst>
    </cacheHierarchy>
    <cacheHierarchy uniqueName="[Measures].[Sum of Mileage_km]" caption="Sum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Average of Mileage_km]" caption="Average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Count of Mileage_km]" caption="Count of Mileage_km" measure="1" displayFolder="" measureGroup="Electric_vehicle" count="0" hidden="1">
      <extLst>
        <ext xmlns:x15="http://schemas.microsoft.com/office/spreadsheetml/2010/11/main" uri="{B97F6D7D-B522-45F9-BDA1-12C45D357490}">
          <x15:cacheHierarchy aggregatedColumn="13"/>
        </ext>
      </extLst>
    </cacheHierarchy>
    <cacheHierarchy uniqueName="[Measures].[Sum of Avg_Speed_kmh]" caption="Sum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Avg_Speed_kmh]" caption="Average of Avg_Speed_kmh" measure="1" displayFolder="" measureGroup="Electric_vehicle" count="0" hidden="1">
      <extLst>
        <ext xmlns:x15="http://schemas.microsoft.com/office/spreadsheetml/2010/11/main" uri="{B97F6D7D-B522-45F9-BDA1-12C45D357490}">
          <x15:cacheHierarchy aggregatedColumn="14"/>
        </ext>
      </extLst>
    </cacheHierarchy>
    <cacheHierarchy uniqueName="[Measures].[Average of Resale_Value_USD]" caption="Average of Resale_Value_USD" measure="1" displayFolder="" measureGroup="Electric_vehicle" count="0" hidden="1">
      <extLst>
        <ext xmlns:x15="http://schemas.microsoft.com/office/spreadsheetml/2010/11/main" uri="{B97F6D7D-B522-45F9-BDA1-12C45D357490}">
          <x15:cacheHierarchy aggregatedColumn="24"/>
        </ext>
      </extLst>
    </cacheHierarchy>
    <cacheHierarchy uniqueName="[Measures].[Sum of Maintenance_Cost_USD]" caption="Sum of Maintenance_Cost_USD" measure="1" displayFolder="" measureGroup="Electric_vehicle" count="0" hidden="1">
      <extLst>
        <ext xmlns:x15="http://schemas.microsoft.com/office/spreadsheetml/2010/11/main" uri="{B97F6D7D-B522-45F9-BDA1-12C45D357490}">
          <x15:cacheHierarchy aggregatedColumn="20"/>
        </ext>
      </extLst>
    </cacheHierarchy>
    <cacheHierarchy uniqueName="[Measures].[Sum of Insurance_Cost_USD]" caption="Sum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Sum of Range_km]" caption="Sum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Sum of Battery_Health_%]" caption="Sum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Battery_Health_%]" caption="Average of Battery_Health_%" measure="1" displayFolder="" measureGroup="Electric_vehicle" count="0" hidden="1">
      <extLst>
        <ext xmlns:x15="http://schemas.microsoft.com/office/spreadsheetml/2010/11/main" uri="{B97F6D7D-B522-45F9-BDA1-12C45D357490}">
          <x15:cacheHierarchy aggregatedColumn="7"/>
        </ext>
      </extLst>
    </cacheHierarchy>
    <cacheHierarchy uniqueName="[Measures].[Average of Insurance_Cost_USD]" caption="Average of Insurance_Cost_USD" measure="1" displayFolder="" measureGroup="Electric_vehicle" count="0" hidden="1">
      <extLst>
        <ext xmlns:x15="http://schemas.microsoft.com/office/spreadsheetml/2010/11/main" uri="{B97F6D7D-B522-45F9-BDA1-12C45D357490}">
          <x15:cacheHierarchy aggregatedColumn="21"/>
        </ext>
      </extLst>
    </cacheHierarchy>
    <cacheHierarchy uniqueName="[Measures].[Average of Range_km]" caption="Average of Range_km" measure="1" displayFolder="" measureGroup="Electric_vehicle" count="0" hidden="1">
      <extLst>
        <ext xmlns:x15="http://schemas.microsoft.com/office/spreadsheetml/2010/11/main" uri="{B97F6D7D-B522-45F9-BDA1-12C45D357490}">
          <x15:cacheHierarchy aggregatedColumn="8"/>
        </ext>
      </extLst>
    </cacheHierarchy>
    <cacheHierarchy uniqueName="[Measures].[Count of Resale_Value_USD]" caption="Count of Resale_Value_USD" measure="1" displayFolder="" measureGroup="Electric_vehicle"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20604863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145610-0B49-444E-A826-B433B6E6F13F}" name="PivotTable8" cacheId="80" applyNumberFormats="0" applyBorderFormats="0" applyFontFormats="0" applyPatternFormats="0" applyAlignmentFormats="0" applyWidthHeightFormats="1" dataCaption="Values" tag="a3e2a58c-9071-4938-8d69-93b7d9518cb2" updatedVersion="8" minRefreshableVersion="3" useAutoFormatting="1" subtotalHiddenItems="1" itemPrintTitles="1" createdVersion="8" indent="0" outline="1" outlineData="1" multipleFieldFilters="0" chartFormat="8" rowHeaderCaption="Type">
  <location ref="D9:E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Vehicle_ID" fld="1" subtotal="count" baseField="0" baseItem="0"/>
  </dataFields>
  <formats count="6">
    <format dxfId="185">
      <pivotArea type="all" dataOnly="0" outline="0" fieldPosition="0"/>
    </format>
    <format dxfId="184">
      <pivotArea outline="0" collapsedLevelsAreSubtotals="1" fieldPosition="0"/>
    </format>
    <format dxfId="183">
      <pivotArea field="0" type="button" dataOnly="0" labelOnly="1" outline="0" axis="axisRow" fieldPosition="0"/>
    </format>
    <format dxfId="182">
      <pivotArea dataOnly="0" labelOnly="1" fieldPosition="0">
        <references count="1">
          <reference field="0" count="0"/>
        </references>
      </pivotArea>
    </format>
    <format dxfId="181">
      <pivotArea dataOnly="0" labelOnly="1" grandRow="1" outline="0" fieldPosition="0"/>
    </format>
    <format dxfId="180">
      <pivotArea dataOnly="0" labelOnly="1" outline="0" axis="axisValues" fieldPosition="0"/>
    </format>
  </formats>
  <chartFormats count="10">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0" count="1" selected="0">
            <x v="0"/>
          </reference>
        </references>
      </pivotArea>
    </chartFormat>
    <chartFormat chart="4" format="3">
      <pivotArea type="data" outline="0" fieldPosition="0">
        <references count="2">
          <reference field="4294967294" count="1" selected="0">
            <x v="0"/>
          </reference>
          <reference field="0" count="1" selected="0">
            <x v="1"/>
          </reference>
        </references>
      </pivotArea>
    </chartFormat>
    <chartFormat chart="4" format="4">
      <pivotArea type="data" outline="0" fieldPosition="0">
        <references count="2">
          <reference field="4294967294" count="1" selected="0">
            <x v="0"/>
          </reference>
          <reference field="0" count="1" selected="0">
            <x v="2"/>
          </reference>
        </references>
      </pivotArea>
    </chartFormat>
    <chartFormat chart="4" format="5">
      <pivotArea type="data" outline="0" fieldPosition="0">
        <references count="2">
          <reference field="4294967294" count="1" selected="0">
            <x v="0"/>
          </reference>
          <reference field="0" count="1" selected="0">
            <x v="3"/>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Vehicl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E8A6E-3706-4AEB-BB16-322BEC70FBFD}" name="PivotTable5" cacheId="98" applyNumberFormats="0" applyBorderFormats="0" applyFontFormats="0" applyPatternFormats="0" applyAlignmentFormats="0" applyWidthHeightFormats="1" dataCaption="Values" tag="a0edb007-1845-4a1a-98bb-d56074daace5" updatedVersion="8" minRefreshableVersion="3" useAutoFormatting="1" subtotalHiddenItems="1" itemPrintTitles="1" createdVersion="8" indent="0" outline="1" outlineData="1" multipleFieldFilters="0">
  <location ref="I5:I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5">
    <format dxfId="190">
      <pivotArea outline="0" collapsedLevelsAreSubtotals="1" fieldPosition="0"/>
    </format>
    <format dxfId="189">
      <pivotArea dataOnly="0" labelOnly="1" outline="0" axis="axisValues" fieldPosition="0"/>
    </format>
    <format dxfId="188">
      <pivotArea type="all" dataOnly="0" outline="0" fieldPosition="0"/>
    </format>
    <format dxfId="187">
      <pivotArea outline="0" collapsedLevelsAreSubtotals="1" fieldPosition="0"/>
    </format>
    <format dxfId="186">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F16878-3A9A-4AB2-BF1C-A2D70DF3A388}" name="PivotTable9" cacheId="107" applyNumberFormats="0" applyBorderFormats="0" applyFontFormats="0" applyPatternFormats="0" applyAlignmentFormats="0" applyWidthHeightFormats="1" dataCaption="Values" tag="bfc5ced5-02a0-4dd2-9b1b-972294b20fef" updatedVersion="8" minRefreshableVersion="3" useAutoFormatting="1" subtotalHiddenItems="1" itemPrintTitles="1" createdVersion="8" indent="0" outline="1" outlineData="1" multipleFieldFilters="0" chartFormat="3" rowHeaderCaption="Usage_Type">
  <location ref="G9:H1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Vehicle_ID" fld="1" subtotal="count" baseField="0" baseItem="0"/>
  </dataFields>
  <formats count="6">
    <format dxfId="196">
      <pivotArea type="all" dataOnly="0" outline="0" fieldPosition="0"/>
    </format>
    <format dxfId="195">
      <pivotArea outline="0" collapsedLevelsAreSubtotals="1" fieldPosition="0"/>
    </format>
    <format dxfId="194">
      <pivotArea field="0" type="button" dataOnly="0" labelOnly="1" outline="0" axis="axisRow" fieldPosition="0"/>
    </format>
    <format dxfId="193">
      <pivotArea dataOnly="0" labelOnly="1" fieldPosition="0">
        <references count="1">
          <reference field="0" count="0"/>
        </references>
      </pivotArea>
    </format>
    <format dxfId="192">
      <pivotArea dataOnly="0" labelOnly="1" grandRow="1" outline="0" fieldPosition="0"/>
    </format>
    <format dxfId="191">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Vehicl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9E6258F-F96B-46E8-8E7C-0573E47E1FE3}" name="PivotTable1" cacheId="83" applyNumberFormats="0" applyBorderFormats="0" applyFontFormats="0" applyPatternFormats="0" applyAlignmentFormats="0" applyWidthHeightFormats="1" dataCaption="Values" tag="c0687032-c56f-4669-aded-fcb6c114f838" updatedVersion="8" minRefreshableVersion="3" useAutoFormatting="1" subtotalHiddenItems="1" itemPrintTitles="1" createdVersion="8" indent="0" outline="1" outlineData="1" multipleFieldFilters="0">
  <location ref="A5:A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99">
      <pivotArea type="all" dataOnly="0" outline="0" fieldPosition="0"/>
    </format>
    <format dxfId="198">
      <pivotArea outline="0" collapsedLevelsAreSubtotals="1" fieldPosition="0"/>
    </format>
    <format dxfId="197">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3B4D4F-3B0A-404C-9188-8E524044F51E}" name="PivotTable4" cacheId="95" applyNumberFormats="0" applyBorderFormats="0" applyFontFormats="0" applyPatternFormats="0" applyAlignmentFormats="0" applyWidthHeightFormats="1" dataCaption="Values" tag="76579dec-fb64-42b0-859e-bdcfa1f66691" updatedVersion="8" minRefreshableVersion="3" useAutoFormatting="1" subtotalHiddenItems="1" itemPrintTitles="1" createdVersion="8" indent="0" outline="1" outlineData="1" multipleFieldFilters="0">
  <location ref="G5:G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4">
    <format dxfId="203">
      <pivotArea outline="0" collapsedLevelsAreSubtotals="1" fieldPosition="0"/>
    </format>
    <format dxfId="202">
      <pivotArea type="all" dataOnly="0" outline="0" fieldPosition="0"/>
    </format>
    <format dxfId="201">
      <pivotArea outline="0" collapsedLevelsAreSubtotals="1" fieldPosition="0"/>
    </format>
    <format dxfId="200">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16D78AA-56D7-48AD-9E18-F11A2E89D1E9}" name="PivotTable2" cacheId="89" applyNumberFormats="0" applyBorderFormats="0" applyFontFormats="0" applyPatternFormats="0" applyAlignmentFormats="0" applyWidthHeightFormats="1" dataCaption="Values" tag="51a21e23-78a4-4f54-83f1-da5e7909450c" updatedVersion="8" minRefreshableVersion="3" useAutoFormatting="1" subtotalHiddenItems="1" itemPrintTitles="1" createdVersion="8" indent="0" outline="1" outlineData="1" multipleFieldFilters="0">
  <location ref="C5:C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4">
    <format dxfId="207">
      <pivotArea outline="0" collapsedLevelsAreSubtotals="1" fieldPosition="0"/>
    </format>
    <format dxfId="206">
      <pivotArea type="all" dataOnly="0" outline="0" fieldPosition="0"/>
    </format>
    <format dxfId="205">
      <pivotArea outline="0" collapsedLevelsAreSubtotals="1" fieldPosition="0"/>
    </format>
    <format dxfId="204">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FAF4E58-B13B-4EFE-932C-00BD680E009F}" name="PivotTable3" cacheId="92" applyNumberFormats="0" applyBorderFormats="0" applyFontFormats="0" applyPatternFormats="0" applyAlignmentFormats="0" applyWidthHeightFormats="1" dataCaption="Values" tag="8664fd6e-0605-44d5-aa52-2d01d1e8d74f" updatedVersion="8" minRefreshableVersion="3" useAutoFormatting="1" subtotalHiddenItems="1" itemPrintTitles="1" createdVersion="8" indent="0" outline="1" outlineData="1" multipleFieldFilters="0">
  <location ref="E5:E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5">
    <format dxfId="212">
      <pivotArea outline="0" collapsedLevelsAreSubtotals="1" fieldPosition="0"/>
    </format>
    <format dxfId="211">
      <pivotArea type="all" dataOnly="0" outline="0" fieldPosition="0"/>
    </format>
    <format dxfId="210">
      <pivotArea outline="0" collapsedLevelsAreSubtotals="1" fieldPosition="0"/>
    </format>
    <format dxfId="209">
      <pivotArea dataOnly="0" labelOnly="1" outline="0" axis="axisValues" fieldPosition="0"/>
    </format>
    <format dxfId="208">
      <pivotArea dataOnly="0" labelOnly="1" outline="0" axis="axisValues" fieldPosition="0"/>
    </format>
  </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24D39F-1DB2-4673-BAA3-B2C97420F2A0}" name="PivotTable7" cacheId="104" applyNumberFormats="0" applyBorderFormats="0" applyFontFormats="0" applyPatternFormats="0" applyAlignmentFormats="0" applyWidthHeightFormats="1" dataCaption="Values" tag="50ed90b7-b98b-4561-803e-3c1587f21512" updatedVersion="8" minRefreshableVersion="3" useAutoFormatting="1" subtotalHiddenItems="1" itemPrintTitles="1" createdVersion="8" indent="0" outline="1" outlineData="1" multipleFieldFilters="0" chartFormat="7" rowHeaderCaption="Make">
  <location ref="G16:H2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Maintenance_Cost_USD" fld="1" subtotal="average" baseField="0" baseItem="0"/>
  </dataFields>
  <formats count="7">
    <format dxfId="219">
      <pivotArea collapsedLevelsAreSubtotals="1" fieldPosition="0">
        <references count="1">
          <reference field="0" count="0"/>
        </references>
      </pivotArea>
    </format>
    <format dxfId="218">
      <pivotArea type="all" dataOnly="0" outline="0" fieldPosition="0"/>
    </format>
    <format dxfId="217">
      <pivotArea outline="0" collapsedLevelsAreSubtotals="1" fieldPosition="0"/>
    </format>
    <format dxfId="216">
      <pivotArea field="0" type="button" dataOnly="0" labelOnly="1" outline="0" axis="axisRow" fieldPosition="0"/>
    </format>
    <format dxfId="215">
      <pivotArea dataOnly="0" labelOnly="1" fieldPosition="0">
        <references count="1">
          <reference field="0" count="0"/>
        </references>
      </pivotArea>
    </format>
    <format dxfId="214">
      <pivotArea dataOnly="0" labelOnly="1" grandRow="1" outline="0" fieldPosition="0"/>
    </format>
    <format dxfId="213">
      <pivotArea dataOnly="0" labelOnly="1" outline="0" axis="axisValues" fieldPosition="0"/>
    </format>
  </formats>
  <chartFormats count="10">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0" count="1" selected="0">
            <x v="1"/>
          </reference>
        </references>
      </pivotArea>
    </chartFormat>
    <chartFormat chart="2" format="5">
      <pivotArea type="data" outline="0" fieldPosition="0">
        <references count="2">
          <reference field="4294967294" count="1" selected="0">
            <x v="0"/>
          </reference>
          <reference field="0" count="1" selected="0">
            <x v="2"/>
          </reference>
        </references>
      </pivotArea>
    </chartFormat>
    <chartFormat chart="2" format="6">
      <pivotArea type="data" outline="0" fieldPosition="0">
        <references count="2">
          <reference field="4294967294" count="1" selected="0">
            <x v="0"/>
          </reference>
          <reference field="0" count="1" selected="0">
            <x v="3"/>
          </reference>
        </references>
      </pivotArea>
    </chartFormat>
    <chartFormat chart="2" format="7">
      <pivotArea type="data" outline="0" fieldPosition="0">
        <references count="2">
          <reference field="4294967294" count="1" selected="0">
            <x v="0"/>
          </reference>
          <reference field="0" count="1" selected="0">
            <x v="8"/>
          </reference>
        </references>
      </pivotArea>
    </chartFormat>
    <chartFormat chart="2" format="8">
      <pivotArea type="data" outline="0" fieldPosition="0">
        <references count="2">
          <reference field="4294967294" count="1" selected="0">
            <x v="0"/>
          </reference>
          <reference field="0" count="1" selected="0">
            <x v="5"/>
          </reference>
        </references>
      </pivotArea>
    </chartFormat>
    <chartFormat chart="2" format="9">
      <pivotArea type="data" outline="0" fieldPosition="0">
        <references count="2">
          <reference field="4294967294" count="1" selected="0">
            <x v="0"/>
          </reference>
          <reference field="0" count="1" selected="0">
            <x v="4"/>
          </reference>
        </references>
      </pivotArea>
    </chartFormat>
    <chartFormat chart="2" format="10">
      <pivotArea type="data" outline="0" fieldPosition="0">
        <references count="2">
          <reference field="4294967294" count="1" selected="0">
            <x v="0"/>
          </reference>
          <reference field="0" count="1" selected="0">
            <x v="9"/>
          </reference>
        </references>
      </pivotArea>
    </chartFormat>
    <chartFormat chart="2" format="11">
      <pivotArea type="data" outline="0" fieldPosition="0">
        <references count="2">
          <reference field="4294967294" count="1" selected="0">
            <x v="0"/>
          </reference>
          <reference field="0" count="1" selected="0">
            <x v="7"/>
          </reference>
        </references>
      </pivotArea>
    </chartFormat>
    <chartFormat chart="2" format="12">
      <pivotArea type="data" outline="0" fieldPosition="0">
        <references count="2">
          <reference field="4294967294" count="1" selected="0">
            <x v="0"/>
          </reference>
          <reference field="0" count="1" selected="0">
            <x v="6"/>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Resale_Value_USD"/>
    <pivotHierarchy dragToData="1"/>
    <pivotHierarchy dragToData="1"/>
    <pivotHierarchy dragToData="1"/>
    <pivotHierarchy dragToData="1"/>
    <pivotHierarchy dragToData="1"/>
    <pivotHierarchy dragToData="1"/>
    <pivotHierarchy dragToData="1"/>
    <pivotHierarchy dragToData="1"/>
    <pivotHierarchy dragToData="1" caption="Average of Maintenance_Cost_USD"/>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C61A9C5-4A98-4B6A-9CCE-AF770EFB33EB}" name="PivotTable10" cacheId="86" applyNumberFormats="0" applyBorderFormats="0" applyFontFormats="0" applyPatternFormats="0" applyAlignmentFormats="0" applyWidthHeightFormats="1" dataCaption="Values" tag="cd5d9686-2e50-4ba3-928d-d0749bb24211" updatedVersion="8" minRefreshableVersion="3" useAutoFormatting="1" subtotalHiddenItems="1" itemPrintTitles="1" createdVersion="8" indent="0" outline="1" outlineData="1" multipleFieldFilters="0" chartFormat="5" rowHeaderCaption="Make">
  <location ref="A16:B27"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Vehicle_ID" fld="1" subtotal="count" baseField="0" baseItem="0"/>
  </dataFields>
  <formats count="6">
    <format dxfId="225">
      <pivotArea type="all" dataOnly="0" outline="0" fieldPosition="0"/>
    </format>
    <format dxfId="224">
      <pivotArea outline="0" collapsedLevelsAreSubtotals="1" fieldPosition="0"/>
    </format>
    <format dxfId="223">
      <pivotArea field="0" type="button" dataOnly="0" labelOnly="1" outline="0" axis="axisRow" fieldPosition="0"/>
    </format>
    <format dxfId="222">
      <pivotArea dataOnly="0" labelOnly="1" fieldPosition="0">
        <references count="1">
          <reference field="0" count="0"/>
        </references>
      </pivotArea>
    </format>
    <format dxfId="221">
      <pivotArea dataOnly="0" labelOnly="1" grandRow="1" outline="0" fieldPosition="0"/>
    </format>
    <format dxfId="220">
      <pivotArea dataOnly="0" labelOnly="1" outline="0" axis="axisValues" fieldPosition="0"/>
    </format>
  </formats>
  <chartFormats count="1">
    <chartFormat chart="4"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Vehicl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53BE20-B003-4B75-85EE-5B0FF6EB0EC3}" name="PivotTable6" cacheId="101" applyNumberFormats="0" applyBorderFormats="0" applyFontFormats="0" applyPatternFormats="0" applyAlignmentFormats="0" applyWidthHeightFormats="1" dataCaption="Values" tag="2a32143d-db11-419b-a405-a04ab7b68e4e" updatedVersion="8" minRefreshableVersion="3" useAutoFormatting="1" subtotalHiddenItems="1" itemPrintTitles="1" createdVersion="8" indent="0" outline="1" outlineData="1" multipleFieldFilters="0" chartFormat="9" rowHeaderCaption="Region">
  <location ref="A9:B1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Vehicle_ID" fld="1" subtotal="count" baseField="0" baseItem="0"/>
  </dataFields>
  <formats count="6">
    <format dxfId="231">
      <pivotArea type="all" dataOnly="0" outline="0" fieldPosition="0"/>
    </format>
    <format dxfId="230">
      <pivotArea outline="0" collapsedLevelsAreSubtotals="1" fieldPosition="0"/>
    </format>
    <format dxfId="229">
      <pivotArea field="0" type="button" dataOnly="0" labelOnly="1" outline="0" axis="axisRow" fieldPosition="0"/>
    </format>
    <format dxfId="228">
      <pivotArea dataOnly="0" labelOnly="1" fieldPosition="0">
        <references count="1">
          <reference field="0" count="0"/>
        </references>
      </pivotArea>
    </format>
    <format dxfId="227">
      <pivotArea dataOnly="0" labelOnly="1" grandRow="1" outline="0" fieldPosition="0"/>
    </format>
    <format dxfId="226">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Count of Vehicle_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2715CC6-B89E-49CA-B5CC-84C7EE087B7B}" name="PivotTable11" cacheId="110" applyNumberFormats="0" applyBorderFormats="0" applyFontFormats="0" applyPatternFormats="0" applyAlignmentFormats="0" applyWidthHeightFormats="1" dataCaption="Values" tag="9418c03c-5a1a-4459-a94a-6bb425046e08" updatedVersion="8" minRefreshableVersion="3" useAutoFormatting="1" itemPrintTitles="1" createdVersion="8" indent="0" outline="1" outlineData="1" multipleFieldFilters="0" chartFormat="4" rowHeaderCaption="Type">
  <location ref="D16:E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g_Battery_Capacity_kWh" fld="1" subtotal="average" baseField="0" baseItem="0"/>
  </dataFields>
  <formats count="8">
    <format dxfId="239">
      <pivotArea collapsedLevelsAreSubtotals="1" fieldPosition="0">
        <references count="1">
          <reference field="0" count="0"/>
        </references>
      </pivotArea>
    </format>
    <format dxfId="238">
      <pivotArea grandRow="1" outline="0" collapsedLevelsAreSubtotals="1" fieldPosition="0"/>
    </format>
    <format dxfId="237">
      <pivotArea type="all" dataOnly="0" outline="0" fieldPosition="0"/>
    </format>
    <format dxfId="236">
      <pivotArea outline="0" collapsedLevelsAreSubtotals="1" fieldPosition="0"/>
    </format>
    <format dxfId="235">
      <pivotArea field="0" type="button" dataOnly="0" labelOnly="1" outline="0" axis="axisRow" fieldPosition="0"/>
    </format>
    <format dxfId="234">
      <pivotArea dataOnly="0" labelOnly="1" fieldPosition="0">
        <references count="1">
          <reference field="0" count="0"/>
        </references>
      </pivotArea>
    </format>
    <format dxfId="233">
      <pivotArea dataOnly="0" labelOnly="1" grandRow="1" outline="0" fieldPosition="0"/>
    </format>
    <format dxfId="232">
      <pivotArea dataOnly="0" labelOnly="1" outline="0" axis="axisValues" fieldPosition="0"/>
    </format>
  </format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9">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_Battery_Capacity_kWh"/>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lectric_vehic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242F709-CEAF-4BAC-A6F6-494AEBA04354}" sourceName="[Electric_vehicle].[Year]">
  <pivotTables>
    <pivotTable tabId="1" name="PivotTable8"/>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9"/>
    <pivotTable tabId="1" name="PivotTable11"/>
  </pivotTables>
  <data>
    <olap pivotCacheId="2060486351">
      <levels count="2">
        <level uniqueName="[Electric_vehicle].[Year].[(All)]" sourceCaption="(All)" count="0"/>
        <level uniqueName="[Electric_vehicle].[Year].[Year]" sourceCaption="Year" count="10">
          <ranges>
            <range startItem="0">
              <i n="[Electric_vehicle].[Year].&amp;[2015]" c="2015"/>
              <i n="[Electric_vehicle].[Year].&amp;[2016]" c="2016"/>
              <i n="[Electric_vehicle].[Year].&amp;[2017]" c="2017"/>
              <i n="[Electric_vehicle].[Year].&amp;[2018]" c="2018"/>
              <i n="[Electric_vehicle].[Year].&amp;[2019]" c="2019"/>
              <i n="[Electric_vehicle].[Year].&amp;[2020]" c="2020"/>
              <i n="[Electric_vehicle].[Year].&amp;[2021]" c="2021"/>
              <i n="[Electric_vehicle].[Year].&amp;[2022]" c="2022"/>
              <i n="[Electric_vehicle].[Year].&amp;[2023]" c="2023"/>
              <i n="[Electric_vehicle].[Year].&amp;[2024]" c="2024"/>
            </range>
          </ranges>
        </level>
      </levels>
      <selections count="1">
        <selection n="[Electric_vehic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72BCF49-278B-4B00-864F-4DA531CE4E29}" cache="Slicer_Year" caption="Year" showCaption="0" level="1" style="My Style"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DC317-BBCC-4F06-A658-20DEF56A06AA}">
  <dimension ref="A1:N27"/>
  <sheetViews>
    <sheetView zoomScaleNormal="100" workbookViewId="0">
      <selection activeCell="D23" sqref="D23"/>
    </sheetView>
  </sheetViews>
  <sheetFormatPr defaultRowHeight="14.4" x14ac:dyDescent="0.3"/>
  <cols>
    <col min="1" max="1" width="12.6640625" bestFit="1" customWidth="1"/>
    <col min="2" max="2" width="17" bestFit="1" customWidth="1"/>
    <col min="3" max="3" width="13.77734375" bestFit="1" customWidth="1"/>
    <col min="4" max="4" width="10.5546875" bestFit="1" customWidth="1"/>
    <col min="5" max="5" width="23.6640625" bestFit="1" customWidth="1"/>
    <col min="6" max="6" width="9.88671875" customWidth="1"/>
    <col min="7" max="7" width="12.88671875" bestFit="1" customWidth="1"/>
    <col min="8" max="8" width="17" bestFit="1" customWidth="1"/>
    <col min="9" max="9" width="12.77734375" bestFit="1" customWidth="1"/>
    <col min="10" max="10" width="12.44140625" bestFit="1" customWidth="1"/>
    <col min="11" max="12" width="12.5546875" bestFit="1" customWidth="1"/>
    <col min="13" max="13" width="13.5546875" bestFit="1" customWidth="1"/>
    <col min="14" max="14" width="18.5546875" bestFit="1" customWidth="1"/>
  </cols>
  <sheetData>
    <row r="1" spans="1:9" x14ac:dyDescent="0.3">
      <c r="A1" s="2"/>
      <c r="B1" s="2"/>
      <c r="C1" s="2"/>
      <c r="D1" s="2"/>
      <c r="E1" s="2"/>
      <c r="F1" s="2"/>
      <c r="G1" s="2"/>
      <c r="H1" s="2"/>
      <c r="I1" s="2"/>
    </row>
    <row r="2" spans="1:9" x14ac:dyDescent="0.3">
      <c r="A2" s="2"/>
      <c r="B2" s="2"/>
      <c r="C2" s="2"/>
      <c r="D2" s="2"/>
      <c r="E2" s="2"/>
      <c r="F2" s="2"/>
      <c r="G2" s="2"/>
      <c r="H2" s="2"/>
      <c r="I2" s="2"/>
    </row>
    <row r="3" spans="1:9" x14ac:dyDescent="0.3">
      <c r="A3" s="2"/>
      <c r="B3" s="2"/>
      <c r="C3" s="2"/>
      <c r="D3" s="2"/>
      <c r="E3" s="2"/>
      <c r="F3" s="2"/>
      <c r="G3" s="2"/>
      <c r="H3" s="2"/>
      <c r="I3" s="2"/>
    </row>
    <row r="5" spans="1:9" x14ac:dyDescent="0.3">
      <c r="A5" s="3" t="s">
        <v>0</v>
      </c>
      <c r="C5" s="3" t="s">
        <v>1</v>
      </c>
      <c r="E5" s="5" t="s">
        <v>3</v>
      </c>
      <c r="G5" s="3" t="s">
        <v>4</v>
      </c>
      <c r="I5" s="11" t="s">
        <v>2</v>
      </c>
    </row>
    <row r="6" spans="1:9" x14ac:dyDescent="0.3">
      <c r="A6" s="13">
        <v>3000</v>
      </c>
      <c r="C6" s="4">
        <v>1495.4693333333332</v>
      </c>
      <c r="E6" s="4">
        <v>374.41466666666668</v>
      </c>
      <c r="G6" s="4">
        <v>85.03</v>
      </c>
      <c r="I6" s="12">
        <v>418.81468333333333</v>
      </c>
    </row>
    <row r="9" spans="1:9" x14ac:dyDescent="0.3">
      <c r="A9" s="6" t="s">
        <v>32</v>
      </c>
      <c r="B9" s="3" t="s">
        <v>10</v>
      </c>
      <c r="D9" s="6" t="s">
        <v>31</v>
      </c>
      <c r="E9" s="3" t="s">
        <v>10</v>
      </c>
      <c r="F9" s="9"/>
      <c r="G9" s="6" t="s">
        <v>33</v>
      </c>
      <c r="H9" s="3" t="s">
        <v>10</v>
      </c>
    </row>
    <row r="10" spans="1:9" x14ac:dyDescent="0.3">
      <c r="A10" s="7" t="s">
        <v>5</v>
      </c>
      <c r="B10" s="13">
        <v>747</v>
      </c>
      <c r="D10" s="7" t="s">
        <v>11</v>
      </c>
      <c r="E10" s="13">
        <v>773</v>
      </c>
      <c r="G10" s="7" t="s">
        <v>15</v>
      </c>
      <c r="H10" s="13">
        <v>996</v>
      </c>
    </row>
    <row r="11" spans="1:9" x14ac:dyDescent="0.3">
      <c r="A11" s="7" t="s">
        <v>6</v>
      </c>
      <c r="B11" s="13">
        <v>794</v>
      </c>
      <c r="D11" s="7" t="s">
        <v>12</v>
      </c>
      <c r="E11" s="13">
        <v>738</v>
      </c>
      <c r="G11" s="7" t="s">
        <v>16</v>
      </c>
      <c r="H11" s="13">
        <v>984</v>
      </c>
    </row>
    <row r="12" spans="1:9" x14ac:dyDescent="0.3">
      <c r="A12" s="7" t="s">
        <v>7</v>
      </c>
      <c r="B12" s="13">
        <v>719</v>
      </c>
      <c r="D12" s="7" t="s">
        <v>13</v>
      </c>
      <c r="E12" s="13">
        <v>765</v>
      </c>
      <c r="G12" s="7" t="s">
        <v>17</v>
      </c>
      <c r="H12" s="13">
        <v>1020</v>
      </c>
    </row>
    <row r="13" spans="1:9" x14ac:dyDescent="0.3">
      <c r="A13" s="7" t="s">
        <v>8</v>
      </c>
      <c r="B13" s="13">
        <v>740</v>
      </c>
      <c r="D13" s="7" t="s">
        <v>14</v>
      </c>
      <c r="E13" s="13">
        <v>724</v>
      </c>
      <c r="G13" s="7" t="s">
        <v>9</v>
      </c>
      <c r="H13" s="13">
        <v>3000</v>
      </c>
    </row>
    <row r="14" spans="1:9" x14ac:dyDescent="0.3">
      <c r="A14" s="7" t="s">
        <v>9</v>
      </c>
      <c r="B14" s="13">
        <v>3000</v>
      </c>
      <c r="D14" s="7" t="s">
        <v>9</v>
      </c>
      <c r="E14" s="13">
        <v>3000</v>
      </c>
    </row>
    <row r="16" spans="1:9" x14ac:dyDescent="0.3">
      <c r="A16" s="6" t="s">
        <v>30</v>
      </c>
      <c r="B16" s="3" t="s">
        <v>10</v>
      </c>
      <c r="D16" s="6" t="s">
        <v>31</v>
      </c>
      <c r="E16" s="3" t="s">
        <v>29</v>
      </c>
      <c r="G16" s="6" t="s">
        <v>30</v>
      </c>
      <c r="H16" s="3" t="s">
        <v>28</v>
      </c>
      <c r="I16" s="9"/>
    </row>
    <row r="17" spans="1:14" x14ac:dyDescent="0.3">
      <c r="A17" s="7" t="s">
        <v>18</v>
      </c>
      <c r="B17" s="13">
        <v>289</v>
      </c>
      <c r="D17" s="7" t="s">
        <v>11</v>
      </c>
      <c r="E17" s="4">
        <v>73.578913324708921</v>
      </c>
      <c r="G17" s="7" t="s">
        <v>18</v>
      </c>
      <c r="H17" s="8">
        <v>1149.1453287197232</v>
      </c>
    </row>
    <row r="18" spans="1:14" x14ac:dyDescent="0.3">
      <c r="A18" s="7" t="s">
        <v>19</v>
      </c>
      <c r="B18" s="13">
        <v>311</v>
      </c>
      <c r="D18" s="7" t="s">
        <v>12</v>
      </c>
      <c r="E18" s="4">
        <v>76.229945799457994</v>
      </c>
      <c r="G18" s="7" t="s">
        <v>19</v>
      </c>
      <c r="H18" s="8">
        <v>1089.5337620578778</v>
      </c>
    </row>
    <row r="19" spans="1:14" x14ac:dyDescent="0.3">
      <c r="A19" s="7" t="s">
        <v>20</v>
      </c>
      <c r="B19" s="13">
        <v>308</v>
      </c>
      <c r="D19" s="7" t="s">
        <v>13</v>
      </c>
      <c r="E19" s="4">
        <v>75.161568627450976</v>
      </c>
      <c r="G19" s="7" t="s">
        <v>20</v>
      </c>
      <c r="H19" s="8">
        <v>1088.8344155844156</v>
      </c>
    </row>
    <row r="20" spans="1:14" x14ac:dyDescent="0.3">
      <c r="A20" s="7" t="s">
        <v>21</v>
      </c>
      <c r="B20" s="13">
        <v>323</v>
      </c>
      <c r="D20" s="7" t="s">
        <v>14</v>
      </c>
      <c r="E20" s="4">
        <v>74.305939226519342</v>
      </c>
      <c r="G20" s="7" t="s">
        <v>21</v>
      </c>
      <c r="H20" s="8">
        <v>1097.6996904024768</v>
      </c>
    </row>
    <row r="21" spans="1:14" x14ac:dyDescent="0.3">
      <c r="A21" s="7" t="s">
        <v>22</v>
      </c>
      <c r="B21" s="13">
        <v>297</v>
      </c>
      <c r="D21" s="7" t="s">
        <v>9</v>
      </c>
      <c r="E21" s="4">
        <v>74.810099999999991</v>
      </c>
      <c r="G21" s="7" t="s">
        <v>22</v>
      </c>
      <c r="H21" s="8">
        <v>1084.3501683501684</v>
      </c>
      <c r="N21" s="1"/>
    </row>
    <row r="22" spans="1:14" x14ac:dyDescent="0.3">
      <c r="A22" s="7" t="s">
        <v>23</v>
      </c>
      <c r="B22" s="13">
        <v>286</v>
      </c>
      <c r="G22" s="7" t="s">
        <v>23</v>
      </c>
      <c r="H22" s="8">
        <v>1062.3881118881118</v>
      </c>
    </row>
    <row r="23" spans="1:14" x14ac:dyDescent="0.3">
      <c r="A23" s="7" t="s">
        <v>24</v>
      </c>
      <c r="B23" s="13">
        <v>293</v>
      </c>
      <c r="G23" s="7" t="s">
        <v>24</v>
      </c>
      <c r="H23" s="8">
        <v>1129.1638225255972</v>
      </c>
    </row>
    <row r="24" spans="1:14" x14ac:dyDescent="0.3">
      <c r="A24" s="7" t="s">
        <v>25</v>
      </c>
      <c r="B24" s="13">
        <v>298</v>
      </c>
      <c r="G24" s="7" t="s">
        <v>25</v>
      </c>
      <c r="H24" s="8">
        <v>1097.7382550335572</v>
      </c>
    </row>
    <row r="25" spans="1:14" x14ac:dyDescent="0.3">
      <c r="A25" s="7" t="s">
        <v>26</v>
      </c>
      <c r="B25" s="13">
        <v>287</v>
      </c>
      <c r="G25" s="7" t="s">
        <v>26</v>
      </c>
      <c r="H25" s="8">
        <v>1123.0627177700349</v>
      </c>
    </row>
    <row r="26" spans="1:14" x14ac:dyDescent="0.3">
      <c r="A26" s="7" t="s">
        <v>27</v>
      </c>
      <c r="B26" s="13">
        <v>308</v>
      </c>
      <c r="G26" s="7" t="s">
        <v>27</v>
      </c>
      <c r="H26" s="8">
        <v>1121.9025974025974</v>
      </c>
    </row>
    <row r="27" spans="1:14" x14ac:dyDescent="0.3">
      <c r="A27" s="7" t="s">
        <v>9</v>
      </c>
      <c r="B27" s="13">
        <v>3000</v>
      </c>
      <c r="G27" s="7" t="s">
        <v>9</v>
      </c>
      <c r="H27" s="13">
        <v>1104.1990000000001</v>
      </c>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4F80-E126-40C9-B39B-500881E6A9CC}">
  <dimension ref="A1:X30"/>
  <sheetViews>
    <sheetView tabSelected="1" zoomScaleNormal="100" workbookViewId="0">
      <selection activeCell="T17" sqref="T17"/>
    </sheetView>
  </sheetViews>
  <sheetFormatPr defaultRowHeight="14.4" x14ac:dyDescent="0.3"/>
  <cols>
    <col min="18" max="18" width="9.44140625" customWidth="1"/>
  </cols>
  <sheetData>
    <row r="1" spans="1:24" x14ac:dyDescent="0.3">
      <c r="A1" s="10"/>
      <c r="B1" s="10"/>
      <c r="C1" s="10"/>
      <c r="D1" s="10"/>
      <c r="E1" s="10"/>
      <c r="F1" s="10"/>
      <c r="G1" s="10"/>
      <c r="H1" s="10"/>
      <c r="I1" s="10"/>
      <c r="J1" s="10"/>
      <c r="K1" s="10"/>
      <c r="L1" s="10"/>
      <c r="M1" s="10"/>
      <c r="N1" s="10"/>
      <c r="O1" s="10"/>
      <c r="P1" s="10"/>
      <c r="Q1" s="10"/>
      <c r="R1" s="10"/>
      <c r="S1" s="10"/>
      <c r="T1" s="10"/>
      <c r="U1" s="10"/>
      <c r="V1" s="10"/>
      <c r="W1" s="10"/>
      <c r="X1" s="10"/>
    </row>
    <row r="2" spans="1:24" x14ac:dyDescent="0.3">
      <c r="A2" s="10"/>
      <c r="B2" s="10"/>
      <c r="C2" s="10"/>
      <c r="D2" s="10"/>
      <c r="E2" s="10"/>
      <c r="F2" s="10"/>
      <c r="G2" s="10"/>
      <c r="H2" s="10"/>
      <c r="I2" s="10"/>
      <c r="J2" s="10"/>
      <c r="K2" s="10"/>
      <c r="L2" s="10"/>
      <c r="M2" s="10"/>
      <c r="N2" s="10"/>
      <c r="O2" s="10"/>
      <c r="P2" s="10"/>
      <c r="Q2" s="10"/>
      <c r="R2" s="10"/>
      <c r="S2" s="10"/>
      <c r="T2" s="10"/>
      <c r="U2" s="10"/>
      <c r="V2" s="10"/>
      <c r="W2" s="10"/>
      <c r="X2" s="10"/>
    </row>
    <row r="3" spans="1:24" x14ac:dyDescent="0.3">
      <c r="A3" s="10"/>
      <c r="B3" s="10"/>
      <c r="C3" s="10"/>
      <c r="D3" s="10"/>
      <c r="E3" s="10"/>
      <c r="F3" s="10"/>
      <c r="G3" s="10"/>
      <c r="H3" s="10"/>
      <c r="I3" s="10"/>
      <c r="J3" s="10"/>
      <c r="K3" s="10"/>
      <c r="L3" s="10"/>
      <c r="M3" s="10"/>
      <c r="N3" s="10"/>
      <c r="O3" s="10"/>
      <c r="P3" s="10"/>
      <c r="Q3" s="10"/>
      <c r="R3" s="10"/>
      <c r="S3" s="10"/>
      <c r="T3" s="10"/>
      <c r="U3" s="10"/>
      <c r="V3" s="10"/>
      <c r="W3" s="10"/>
      <c r="X3" s="10"/>
    </row>
    <row r="4" spans="1:24" x14ac:dyDescent="0.3">
      <c r="A4" s="10"/>
      <c r="B4" s="10"/>
      <c r="C4" s="10"/>
      <c r="D4" s="10"/>
      <c r="E4" s="10"/>
      <c r="F4" s="10"/>
      <c r="G4" s="10"/>
      <c r="H4" s="10"/>
      <c r="I4" s="10"/>
      <c r="J4" s="10"/>
      <c r="K4" s="10"/>
      <c r="L4" s="10"/>
      <c r="M4" s="10"/>
      <c r="N4" s="10"/>
      <c r="O4" s="10"/>
      <c r="P4" s="10"/>
      <c r="Q4" s="10"/>
      <c r="R4" s="10"/>
      <c r="S4" s="10"/>
      <c r="T4" s="10"/>
      <c r="U4" s="10"/>
      <c r="V4" s="10"/>
      <c r="W4" s="10"/>
      <c r="X4" s="10"/>
    </row>
    <row r="5" spans="1:24" x14ac:dyDescent="0.3">
      <c r="A5" s="10"/>
      <c r="B5" s="10"/>
      <c r="C5" s="10"/>
      <c r="D5" s="10"/>
      <c r="E5" s="10"/>
      <c r="F5" s="10"/>
      <c r="G5" s="10"/>
      <c r="H5" s="10"/>
      <c r="I5" s="10"/>
      <c r="J5" s="10"/>
      <c r="K5" s="10"/>
      <c r="L5" s="10"/>
      <c r="M5" s="10"/>
      <c r="N5" s="10"/>
      <c r="O5" s="10"/>
      <c r="P5" s="10"/>
      <c r="Q5" s="10"/>
      <c r="R5" s="10"/>
      <c r="S5" s="10"/>
      <c r="T5" s="10"/>
      <c r="U5" s="10"/>
      <c r="V5" s="10"/>
      <c r="W5" s="10"/>
      <c r="X5" s="10"/>
    </row>
    <row r="6" spans="1:24" x14ac:dyDescent="0.3">
      <c r="A6" s="10"/>
      <c r="B6" s="10"/>
      <c r="C6" s="10"/>
      <c r="D6" s="10"/>
      <c r="E6" s="10"/>
      <c r="F6" s="10"/>
      <c r="G6" s="10"/>
      <c r="H6" s="10"/>
      <c r="I6" s="10"/>
      <c r="J6" s="10"/>
      <c r="K6" s="10"/>
      <c r="L6" s="10"/>
      <c r="M6" s="10"/>
      <c r="N6" s="10"/>
      <c r="O6" s="10"/>
      <c r="P6" s="10"/>
      <c r="Q6" s="10"/>
      <c r="R6" s="10"/>
      <c r="S6" s="10"/>
      <c r="T6" s="10"/>
      <c r="U6" s="10"/>
      <c r="V6" s="10"/>
      <c r="W6" s="10"/>
      <c r="X6" s="10"/>
    </row>
    <row r="7" spans="1:24" x14ac:dyDescent="0.3">
      <c r="A7" s="10"/>
      <c r="B7" s="10"/>
      <c r="C7" s="10"/>
      <c r="D7" s="10"/>
      <c r="E7" s="10"/>
      <c r="F7" s="10"/>
      <c r="G7" s="10"/>
      <c r="H7" s="10"/>
      <c r="I7" s="10"/>
      <c r="J7" s="10"/>
      <c r="K7" s="10"/>
      <c r="L7" s="10"/>
      <c r="M7" s="10"/>
      <c r="N7" s="10"/>
      <c r="O7" s="10"/>
      <c r="P7" s="10"/>
      <c r="Q7" s="10"/>
      <c r="R7" s="10"/>
      <c r="S7" s="10"/>
      <c r="T7" s="10"/>
      <c r="U7" s="10"/>
      <c r="V7" s="10"/>
      <c r="W7" s="10"/>
      <c r="X7" s="10"/>
    </row>
    <row r="8" spans="1:24" x14ac:dyDescent="0.3">
      <c r="A8" s="10"/>
      <c r="B8" s="10"/>
      <c r="C8" s="10"/>
      <c r="D8" s="10"/>
      <c r="E8" s="10"/>
      <c r="F8" s="10"/>
      <c r="G8" s="10"/>
      <c r="H8" s="10"/>
      <c r="I8" s="10"/>
      <c r="J8" s="10"/>
      <c r="K8" s="10"/>
      <c r="L8" s="10"/>
      <c r="M8" s="10"/>
      <c r="N8" s="10"/>
      <c r="O8" s="10"/>
      <c r="P8" s="10"/>
      <c r="Q8" s="10"/>
      <c r="R8" s="10"/>
      <c r="S8" s="10"/>
      <c r="T8" s="10"/>
      <c r="U8" s="10"/>
      <c r="V8" s="10"/>
      <c r="W8" s="10"/>
      <c r="X8" s="10"/>
    </row>
    <row r="9" spans="1:24" x14ac:dyDescent="0.3">
      <c r="A9" s="10"/>
      <c r="B9" s="10"/>
      <c r="C9" s="10"/>
      <c r="D9" s="10"/>
      <c r="E9" s="10"/>
      <c r="F9" s="10"/>
      <c r="G9" s="10"/>
      <c r="H9" s="10"/>
      <c r="I9" s="10"/>
      <c r="J9" s="10"/>
      <c r="K9" s="10"/>
      <c r="L9" s="10"/>
      <c r="M9" s="10"/>
      <c r="N9" s="10"/>
      <c r="O9" s="10"/>
      <c r="P9" s="10"/>
      <c r="Q9" s="10"/>
      <c r="R9" s="10"/>
      <c r="S9" s="10"/>
      <c r="T9" s="10"/>
      <c r="U9" s="10"/>
      <c r="V9" s="10"/>
      <c r="W9" s="10"/>
      <c r="X9" s="10"/>
    </row>
    <row r="10" spans="1:24" x14ac:dyDescent="0.3">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x14ac:dyDescent="0.3">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x14ac:dyDescent="0.3">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x14ac:dyDescent="0.3">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x14ac:dyDescent="0.3">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x14ac:dyDescent="0.3">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x14ac:dyDescent="0.3">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x14ac:dyDescent="0.3">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x14ac:dyDescent="0.3">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x14ac:dyDescent="0.3">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x14ac:dyDescent="0.3">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x14ac:dyDescent="0.3">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x14ac:dyDescent="0.3">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x14ac:dyDescent="0.3">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x14ac:dyDescent="0.3">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x14ac:dyDescent="0.3">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x14ac:dyDescent="0.3">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x14ac:dyDescent="0.3">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x14ac:dyDescent="0.3">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x14ac:dyDescent="0.3">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x14ac:dyDescent="0.3">
      <c r="A30" s="10"/>
      <c r="B30" s="10"/>
      <c r="C30" s="10"/>
      <c r="D30" s="10"/>
      <c r="E30" s="10"/>
      <c r="F30" s="10"/>
      <c r="G30" s="10"/>
      <c r="H30" s="10"/>
      <c r="I30" s="10"/>
      <c r="J30" s="10"/>
      <c r="K30" s="10"/>
      <c r="L30" s="10"/>
      <c r="M30" s="10"/>
      <c r="N30" s="10"/>
      <c r="O30" s="10"/>
      <c r="P30" s="10"/>
      <c r="Q30" s="10"/>
      <c r="R30" s="10"/>
      <c r="S30" s="10"/>
      <c r="T30" s="10"/>
      <c r="U30" s="10"/>
      <c r="V30" s="10"/>
      <c r="W30" s="10"/>
      <c r="X30"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Props1.xml><?xml version="1.0" encoding="utf-8"?>
<ds:datastoreItem xmlns:ds="http://schemas.openxmlformats.org/officeDocument/2006/customXml" ds:itemID="{B432C8E5-FE10-4483-B83D-D45CD9A61706}">
  <ds:schemaRefs/>
</ds:datastoreItem>
</file>

<file path=customXml/itemProps2.xml><?xml version="1.0" encoding="utf-8"?>
<ds:datastoreItem xmlns:ds="http://schemas.openxmlformats.org/officeDocument/2006/customXml" ds:itemID="{56FC187C-582D-47C8-9D35-873FB65CA461}">
  <ds:schemaRefs/>
</ds:datastoreItem>
</file>

<file path=customXml/itemProps3.xml><?xml version="1.0" encoding="utf-8"?>
<ds:datastoreItem xmlns:ds="http://schemas.openxmlformats.org/officeDocument/2006/customXml" ds:itemID="{04FEDA0B-13D8-4DD6-819B-FB822B686751}">
  <ds:schemaRefs/>
</ds:datastoreItem>
</file>

<file path=customXml/itemProps4.xml><?xml version="1.0" encoding="utf-8"?>
<ds:datastoreItem xmlns:ds="http://schemas.openxmlformats.org/officeDocument/2006/customXml" ds:itemID="{3823C2E1-0DBA-4BF3-B6E0-05FCA0758685}">
  <ds:schemaRefs/>
</ds:datastoreItem>
</file>

<file path=customXml/itemProps5.xml><?xml version="1.0" encoding="utf-8"?>
<ds:datastoreItem xmlns:ds="http://schemas.openxmlformats.org/officeDocument/2006/customXml" ds:itemID="{CE979D81-3B04-4D8D-941C-536449DAB683}">
  <ds:schemaRefs/>
</ds:datastoreItem>
</file>

<file path=customXml/itemProps6.xml><?xml version="1.0" encoding="utf-8"?>
<ds:datastoreItem xmlns:ds="http://schemas.openxmlformats.org/officeDocument/2006/customXml" ds:itemID="{FA0B8391-1AA2-4640-ACBF-127592F02DD0}">
  <ds:schemaRefs/>
</ds:datastoreItem>
</file>

<file path=customXml/itemProps7.xml><?xml version="1.0" encoding="utf-8"?>
<ds:datastoreItem xmlns:ds="http://schemas.openxmlformats.org/officeDocument/2006/customXml" ds:itemID="{034510AF-6C8B-42B9-B795-EF2E3ED2B04B}">
  <ds:schemaRefs/>
</ds:datastoreItem>
</file>

<file path=customXml/itemProps8.xml><?xml version="1.0" encoding="utf-8"?>
<ds:datastoreItem xmlns:ds="http://schemas.openxmlformats.org/officeDocument/2006/customXml" ds:itemID="{38BC5A88-B6AA-47F3-B027-AE65F40BDB5A}">
  <ds:schemaRefs/>
</ds:datastoreItem>
</file>

<file path=customXml/itemProps9.xml><?xml version="1.0" encoding="utf-8"?>
<ds:datastoreItem xmlns:ds="http://schemas.openxmlformats.org/officeDocument/2006/customXml" ds:itemID="{CF2EBD86-2426-4764-84CD-D579D239EE8D}">
  <ds:schemaRefs/>
</ds:datastoreItem>
</file>

<file path=customXml/itemProps10.xml><?xml version="1.0" encoding="utf-8"?>
<ds:datastoreItem xmlns:ds="http://schemas.openxmlformats.org/officeDocument/2006/customXml" ds:itemID="{F212BEC6-0379-4CC8-AD8E-FD2A2E8AF594}">
  <ds:schemaRefs/>
</ds:datastoreItem>
</file>

<file path=customXml/itemProps11.xml><?xml version="1.0" encoding="utf-8"?>
<ds:datastoreItem xmlns:ds="http://schemas.openxmlformats.org/officeDocument/2006/customXml" ds:itemID="{F6BB4767-F7A7-421E-8073-C0AB9D9390E7}">
  <ds:schemaRefs/>
</ds:datastoreItem>
</file>

<file path=customXml/itemProps12.xml><?xml version="1.0" encoding="utf-8"?>
<ds:datastoreItem xmlns:ds="http://schemas.openxmlformats.org/officeDocument/2006/customXml" ds:itemID="{7D1E72A5-97BC-455B-8644-816EFC3C15B0}">
  <ds:schemaRefs/>
</ds:datastoreItem>
</file>

<file path=customXml/itemProps13.xml><?xml version="1.0" encoding="utf-8"?>
<ds:datastoreItem xmlns:ds="http://schemas.openxmlformats.org/officeDocument/2006/customXml" ds:itemID="{18855CB5-22A6-47A5-B50D-4E770ECFA55B}">
  <ds:schemaRefs/>
</ds:datastoreItem>
</file>

<file path=customXml/itemProps14.xml><?xml version="1.0" encoding="utf-8"?>
<ds:datastoreItem xmlns:ds="http://schemas.openxmlformats.org/officeDocument/2006/customXml" ds:itemID="{90881D9A-86BD-4E24-8DA3-955CFD6C1129}">
  <ds:schemaRefs/>
</ds:datastoreItem>
</file>

<file path=customXml/itemProps15.xml><?xml version="1.0" encoding="utf-8"?>
<ds:datastoreItem xmlns:ds="http://schemas.openxmlformats.org/officeDocument/2006/customXml" ds:itemID="{E3C5B388-8BC3-48AA-8E59-9994FAC52358}">
  <ds:schemaRefs/>
</ds:datastoreItem>
</file>

<file path=customXml/itemProps16.xml><?xml version="1.0" encoding="utf-8"?>
<ds:datastoreItem xmlns:ds="http://schemas.openxmlformats.org/officeDocument/2006/customXml" ds:itemID="{EEB8130F-CD9C-4CC2-9289-70B7D77F1B43}">
  <ds:schemaRefs/>
</ds:datastoreItem>
</file>

<file path=customXml/itemProps17.xml><?xml version="1.0" encoding="utf-8"?>
<ds:datastoreItem xmlns:ds="http://schemas.openxmlformats.org/officeDocument/2006/customXml" ds:itemID="{51652180-CC8D-415A-9E14-D469D61C4AE8}">
  <ds:schemaRefs/>
</ds:datastoreItem>
</file>

<file path=customXml/itemProps18.xml><?xml version="1.0" encoding="utf-8"?>
<ds:datastoreItem xmlns:ds="http://schemas.openxmlformats.org/officeDocument/2006/customXml" ds:itemID="{E6057ED9-F1D1-4D6B-87CB-3DAFA2D8051A}">
  <ds:schemaRefs/>
</ds:datastoreItem>
</file>

<file path=customXml/itemProps19.xml><?xml version="1.0" encoding="utf-8"?>
<ds:datastoreItem xmlns:ds="http://schemas.openxmlformats.org/officeDocument/2006/customXml" ds:itemID="{3244DF92-43A3-406B-B557-06670142223D}">
  <ds:schemaRefs/>
</ds:datastoreItem>
</file>

<file path=customXml/itemProps20.xml><?xml version="1.0" encoding="utf-8"?>
<ds:datastoreItem xmlns:ds="http://schemas.openxmlformats.org/officeDocument/2006/customXml" ds:itemID="{FF5FDC03-8CCB-4770-8729-069FD3C89D5A}">
  <ds:schemaRefs/>
</ds:datastoreItem>
</file>

<file path=customXml/itemProps21.xml><?xml version="1.0" encoding="utf-8"?>
<ds:datastoreItem xmlns:ds="http://schemas.openxmlformats.org/officeDocument/2006/customXml" ds:itemID="{3887E08E-1A9F-45AB-B30B-03430E240ED8}">
  <ds:schemaRefs/>
</ds:datastoreItem>
</file>

<file path=customXml/itemProps22.xml><?xml version="1.0" encoding="utf-8"?>
<ds:datastoreItem xmlns:ds="http://schemas.openxmlformats.org/officeDocument/2006/customXml" ds:itemID="{2C74AD1E-CB1B-4993-9EB9-25F494DDD484}">
  <ds:schemaRefs/>
</ds:datastoreItem>
</file>

<file path=customXml/itemProps23.xml><?xml version="1.0" encoding="utf-8"?>
<ds:datastoreItem xmlns:ds="http://schemas.openxmlformats.org/officeDocument/2006/customXml" ds:itemID="{C0C5B369-DE48-4DAD-AA7B-F5B1D376E5EC}">
  <ds:schemaRefs/>
</ds:datastoreItem>
</file>

<file path=customXml/itemProps24.xml><?xml version="1.0" encoding="utf-8"?>
<ds:datastoreItem xmlns:ds="http://schemas.openxmlformats.org/officeDocument/2006/customXml" ds:itemID="{37996129-874D-4588-B3B7-555F6CA0F231}">
  <ds:schemaRefs/>
</ds:datastoreItem>
</file>

<file path=customXml/itemProps25.xml><?xml version="1.0" encoding="utf-8"?>
<ds:datastoreItem xmlns:ds="http://schemas.openxmlformats.org/officeDocument/2006/customXml" ds:itemID="{772D5056-A037-415D-8DB9-E012BB5F998B}">
  <ds:schemaRefs/>
</ds:datastoreItem>
</file>

<file path=customXml/itemProps26.xml><?xml version="1.0" encoding="utf-8"?>
<ds:datastoreItem xmlns:ds="http://schemas.openxmlformats.org/officeDocument/2006/customXml" ds:itemID="{67DDD357-797E-4F0D-9295-B9DAEF2F8193}">
  <ds:schemaRefs/>
</ds:datastoreItem>
</file>

<file path=customXml/itemProps27.xml><?xml version="1.0" encoding="utf-8"?>
<ds:datastoreItem xmlns:ds="http://schemas.openxmlformats.org/officeDocument/2006/customXml" ds:itemID="{7007B5C2-8E58-4847-9ABC-EA73F944013F}">
  <ds:schemaRefs/>
</ds:datastoreItem>
</file>

<file path=customXml/itemProps28.xml><?xml version="1.0" encoding="utf-8"?>
<ds:datastoreItem xmlns:ds="http://schemas.openxmlformats.org/officeDocument/2006/customXml" ds:itemID="{2D4643CF-969E-44D1-A79E-7C2232908EE9}">
  <ds:schemaRefs>
    <ds:schemaRef ds:uri="http://schemas.microsoft.com/DataMashup"/>
  </ds:schemaRefs>
</ds:datastoreItem>
</file>

<file path=customXml/itemProps29.xml><?xml version="1.0" encoding="utf-8"?>
<ds:datastoreItem xmlns:ds="http://schemas.openxmlformats.org/officeDocument/2006/customXml" ds:itemID="{348F344C-B790-4D33-9EB1-109FE446617B}">
  <ds:schemaRefs/>
</ds:datastoreItem>
</file>

<file path=customXml/itemProps30.xml><?xml version="1.0" encoding="utf-8"?>
<ds:datastoreItem xmlns:ds="http://schemas.openxmlformats.org/officeDocument/2006/customXml" ds:itemID="{59309974-6AD9-4228-A45A-35EC583D4D71}">
  <ds:schemaRefs/>
</ds:datastoreItem>
</file>

<file path=customXml/itemProps31.xml><?xml version="1.0" encoding="utf-8"?>
<ds:datastoreItem xmlns:ds="http://schemas.openxmlformats.org/officeDocument/2006/customXml" ds:itemID="{95DBA5C7-53C7-464A-A79E-0562853A2EC9}">
  <ds:schemaRefs/>
</ds:datastoreItem>
</file>

<file path=customXml/itemProps32.xml><?xml version="1.0" encoding="utf-8"?>
<ds:datastoreItem xmlns:ds="http://schemas.openxmlformats.org/officeDocument/2006/customXml" ds:itemID="{798DBF77-67C2-492C-92F3-034F9F540224}">
  <ds:schemaRefs/>
</ds:datastoreItem>
</file>

<file path=customXml/itemProps33.xml><?xml version="1.0" encoding="utf-8"?>
<ds:datastoreItem xmlns:ds="http://schemas.openxmlformats.org/officeDocument/2006/customXml" ds:itemID="{3B460E15-A2CD-4BF3-A5B9-9B742747C8FA}">
  <ds:schemaRefs/>
</ds:datastoreItem>
</file>

<file path=customXml/itemProps34.xml><?xml version="1.0" encoding="utf-8"?>
<ds:datastoreItem xmlns:ds="http://schemas.openxmlformats.org/officeDocument/2006/customXml" ds:itemID="{C182D61D-15A6-431A-B3DF-6FE960C4600E}">
  <ds:schemaRefs/>
</ds:datastoreItem>
</file>

<file path=customXml/itemProps35.xml><?xml version="1.0" encoding="utf-8"?>
<ds:datastoreItem xmlns:ds="http://schemas.openxmlformats.org/officeDocument/2006/customXml" ds:itemID="{AE18E1A3-3ED4-44A6-ABA6-86A8A86ED1BA}">
  <ds:schemaRefs/>
</ds:datastoreItem>
</file>

<file path=customXml/itemProps36.xml><?xml version="1.0" encoding="utf-8"?>
<ds:datastoreItem xmlns:ds="http://schemas.openxmlformats.org/officeDocument/2006/customXml" ds:itemID="{B846AD14-2A0C-4C3F-BB08-EF66BD7E0C40}">
  <ds:schemaRefs/>
</ds:datastoreItem>
</file>

<file path=customXml/itemProps37.xml><?xml version="1.0" encoding="utf-8"?>
<ds:datastoreItem xmlns:ds="http://schemas.openxmlformats.org/officeDocument/2006/customXml" ds:itemID="{8ED5BD3A-E660-4C1D-BE7C-5E25608AC167}">
  <ds:schemaRefs/>
</ds:datastoreItem>
</file>

<file path=customXml/itemProps38.xml><?xml version="1.0" encoding="utf-8"?>
<ds:datastoreItem xmlns:ds="http://schemas.openxmlformats.org/officeDocument/2006/customXml" ds:itemID="{4A05C378-8ACA-46D1-A548-2825E3A7188C}">
  <ds:schemaRefs/>
</ds:datastoreItem>
</file>

<file path=customXml/itemProps39.xml><?xml version="1.0" encoding="utf-8"?>
<ds:datastoreItem xmlns:ds="http://schemas.openxmlformats.org/officeDocument/2006/customXml" ds:itemID="{E2723FD3-FE58-4756-B2EC-8797139ACEC3}">
  <ds:schemaRefs/>
</ds:datastoreItem>
</file>

<file path=customXml/itemProps40.xml><?xml version="1.0" encoding="utf-8"?>
<ds:datastoreItem xmlns:ds="http://schemas.openxmlformats.org/officeDocument/2006/customXml" ds:itemID="{B69D2225-2AAD-4990-8744-EFD8E080BE84}">
  <ds:schemaRefs/>
</ds:datastoreItem>
</file>

<file path=customXml/itemProps41.xml><?xml version="1.0" encoding="utf-8"?>
<ds:datastoreItem xmlns:ds="http://schemas.openxmlformats.org/officeDocument/2006/customXml" ds:itemID="{4D399CB8-A042-41AC-9BDB-E4F4532EBA13}">
  <ds:schemaRefs/>
</ds:datastoreItem>
</file>

<file path=customXml/itemProps42.xml><?xml version="1.0" encoding="utf-8"?>
<ds:datastoreItem xmlns:ds="http://schemas.openxmlformats.org/officeDocument/2006/customXml" ds:itemID="{25A1F5AF-807A-4128-A534-51C448DC1B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RAHUL KUMAR</dc:creator>
  <cp:lastModifiedBy>RAHUL KUMAR</cp:lastModifiedBy>
  <dcterms:created xsi:type="dcterms:W3CDTF">2026-07-03T02:54:06Z</dcterms:created>
  <dcterms:modified xsi:type="dcterms:W3CDTF">2026-07-18T05:24:03Z</dcterms:modified>
</cp:coreProperties>
</file>